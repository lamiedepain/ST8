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6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7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8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9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0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1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Ex13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4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Ex15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16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Ex1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18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19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20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Ex21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Ex22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23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Ex24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Ex25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charts/chartEx26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Ex27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charts/chartEx28.xml" ContentType="application/vnd.ms-office.chartex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Ex29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Ex30.xml" ContentType="application/vnd.ms-office.chartex+xml"/>
  <Override PartName="/xl/charts/style34.xml" ContentType="application/vnd.ms-office.chartstyle+xml"/>
  <Override PartName="/xl/charts/colors34.xml" ContentType="application/vnd.ms-office.chartcolorstyle+xml"/>
  <Override PartName="/xl/charts/chartEx31.xml" ContentType="application/vnd.ms-office.chartex+xml"/>
  <Override PartName="/xl/charts/style35.xml" ContentType="application/vnd.ms-office.chartstyle+xml"/>
  <Override PartName="/xl/charts/colors35.xml" ContentType="application/vnd.ms-office.chartcolorstyle+xml"/>
  <Override PartName="/xl/charts/chartEx32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Ex33.xml" ContentType="application/vnd.ms-office.chartex+xml"/>
  <Override PartName="/xl/charts/style37.xml" ContentType="application/vnd.ms-office.chartstyle+xml"/>
  <Override PartName="/xl/charts/colors37.xml" ContentType="application/vnd.ms-office.chartcolorstyle+xml"/>
  <Override PartName="/xl/charts/chartEx34.xml" ContentType="application/vnd.ms-office.chartex+xml"/>
  <Override PartName="/xl/charts/style38.xml" ContentType="application/vnd.ms-office.chartstyle+xml"/>
  <Override PartName="/xl/charts/colors38.xml" ContentType="application/vnd.ms-office.chartcolorstyle+xml"/>
  <Override PartName="/xl/charts/chartEx35.xml" ContentType="application/vnd.ms-office.chartex+xml"/>
  <Override PartName="/xl/charts/style39.xml" ContentType="application/vnd.ms-office.chartstyle+xml"/>
  <Override PartName="/xl/charts/colors39.xml" ContentType="application/vnd.ms-office.chartcolorstyle+xml"/>
  <Override PartName="/xl/charts/chartEx36.xml" ContentType="application/vnd.ms-office.chartex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Ex37.xml" ContentType="application/vnd.ms-office.chartex+xml"/>
  <Override PartName="/xl/charts/style41.xml" ContentType="application/vnd.ms-office.chartstyle+xml"/>
  <Override PartName="/xl/charts/colors41.xml" ContentType="application/vnd.ms-office.chartcolorstyle+xml"/>
  <Override PartName="/xl/charts/chartEx38.xml" ContentType="application/vnd.ms-office.chartex+xml"/>
  <Override PartName="/xl/charts/style42.xml" ContentType="application/vnd.ms-office.chartstyle+xml"/>
  <Override PartName="/xl/charts/colors42.xml" ContentType="application/vnd.ms-office.chartcolorstyle+xml"/>
  <Override PartName="/xl/charts/chartEx39.xml" ContentType="application/vnd.ms-office.chartex+xml"/>
  <Override PartName="/xl/charts/style43.xml" ContentType="application/vnd.ms-office.chartstyle+xml"/>
  <Override PartName="/xl/charts/colors43.xml" ContentType="application/vnd.ms-office.chartcolorstyle+xml"/>
  <Override PartName="/xl/charts/chartEx40.xml" ContentType="application/vnd.ms-office.chartex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Ex41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Ex42.xml" ContentType="application/vnd.ms-office.chartex+xml"/>
  <Override PartName="/xl/charts/style46.xml" ContentType="application/vnd.ms-office.chartstyle+xml"/>
  <Override PartName="/xl/charts/colors46.xml" ContentType="application/vnd.ms-office.chartcolorstyle+xml"/>
  <Override PartName="/xl/charts/chartEx43.xml" ContentType="application/vnd.ms-office.chartex+xml"/>
  <Override PartName="/xl/charts/style47.xml" ContentType="application/vnd.ms-office.chartstyle+xml"/>
  <Override PartName="/xl/charts/colors47.xml" ContentType="application/vnd.ms-office.chartcolorstyle+xml"/>
  <Override PartName="/xl/charts/chartEx44.xml" ContentType="application/vnd.ms-office.chartex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Ex45.xml" ContentType="application/vnd.ms-office.chartex+xml"/>
  <Override PartName="/xl/charts/style49.xml" ContentType="application/vnd.ms-office.chartstyle+xml"/>
  <Override PartName="/xl/charts/colors49.xml" ContentType="application/vnd.ms-office.chartcolorstyle+xml"/>
  <Override PartName="/xl/charts/chartEx46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Ex47.xml" ContentType="application/vnd.ms-office.chartex+xml"/>
  <Override PartName="/xl/charts/style51.xml" ContentType="application/vnd.ms-office.chartstyle+xml"/>
  <Override PartName="/xl/charts/colors51.xml" ContentType="application/vnd.ms-office.chartcolorstyle+xml"/>
  <Override PartName="/xl/charts/chartEx48.xml" ContentType="application/vnd.ms-office.chartex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Ex49.xml" ContentType="application/vnd.ms-office.chartex+xml"/>
  <Override PartName="/xl/charts/style53.xml" ContentType="application/vnd.ms-office.chartstyle+xml"/>
  <Override PartName="/xl/charts/colors53.xml" ContentType="application/vnd.ms-office.chartcolorstyle+xml"/>
  <Override PartName="/xl/charts/chartEx50.xml" ContentType="application/vnd.ms-office.chartex+xml"/>
  <Override PartName="/xl/charts/style54.xml" ContentType="application/vnd.ms-office.chartstyle+xml"/>
  <Override PartName="/xl/charts/colors54.xml" ContentType="application/vnd.ms-office.chartcolorstyle+xml"/>
  <Override PartName="/xl/charts/chartEx51.xml" ContentType="application/vnd.ms-office.chartex+xml"/>
  <Override PartName="/xl/charts/style55.xml" ContentType="application/vnd.ms-office.chartstyle+xml"/>
  <Override PartName="/xl/charts/colors55.xml" ContentType="application/vnd.ms-office.chartcolorstyle+xml"/>
  <Override PartName="/xl/charts/chartEx52.xml" ContentType="application/vnd.ms-office.chartex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Ex53.xml" ContentType="application/vnd.ms-office.chartex+xml"/>
  <Override PartName="/xl/charts/style57.xml" ContentType="application/vnd.ms-office.chartstyle+xml"/>
  <Override PartName="/xl/charts/colors57.xml" ContentType="application/vnd.ms-office.chartcolorstyle+xml"/>
  <Override PartName="/xl/charts/chartEx54.xml" ContentType="application/vnd.ms-office.chartex+xml"/>
  <Override PartName="/xl/charts/style58.xml" ContentType="application/vnd.ms-office.chartstyle+xml"/>
  <Override PartName="/xl/charts/colors58.xml" ContentType="application/vnd.ms-office.chartcolorstyle+xml"/>
  <Override PartName="/xl/charts/chartEx55.xml" ContentType="application/vnd.ms-office.chartex+xml"/>
  <Override PartName="/xl/charts/style59.xml" ContentType="application/vnd.ms-office.chartstyle+xml"/>
  <Override PartName="/xl/charts/colors59.xml" ContentType="application/vnd.ms-office.chartcolorstyle+xml"/>
  <Override PartName="/xl/charts/chartEx56.xml" ContentType="application/vnd.ms-office.chartex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Ex57.xml" ContentType="application/vnd.ms-office.chartex+xml"/>
  <Override PartName="/xl/charts/style61.xml" ContentType="application/vnd.ms-office.chartstyle+xml"/>
  <Override PartName="/xl/charts/colors61.xml" ContentType="application/vnd.ms-office.chartcolorstyle+xml"/>
  <Override PartName="/xl/charts/chartEx58.xml" ContentType="application/vnd.ms-office.chartex+xml"/>
  <Override PartName="/xl/charts/style62.xml" ContentType="application/vnd.ms-office.chartstyle+xml"/>
  <Override PartName="/xl/charts/colors62.xml" ContentType="application/vnd.ms-office.chartcolorstyle+xml"/>
  <Override PartName="/xl/charts/chartEx59.xml" ContentType="application/vnd.ms-office.chartex+xml"/>
  <Override PartName="/xl/charts/style63.xml" ContentType="application/vnd.ms-office.chartstyle+xml"/>
  <Override PartName="/xl/charts/colors63.xml" ContentType="application/vnd.ms-office.chartcolorstyle+xml"/>
  <Override PartName="/xl/charts/chartEx60.xml" ContentType="application/vnd.ms-office.chartex+xml"/>
  <Override PartName="/xl/charts/style64.xml" ContentType="application/vnd.ms-office.chartstyle+xml"/>
  <Override PartName="/xl/charts/colors6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çalves\Desktop\ST8\"/>
    </mc:Choice>
  </mc:AlternateContent>
  <xr:revisionPtr revIDLastSave="0" documentId="13_ncr:1_{D1DED78F-282C-4B24-B7FA-DAAEF3586DB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enu" sheetId="1" r:id="rId1"/>
    <sheet name="config" sheetId="2" r:id="rId2"/>
    <sheet name="Feuil1" sheetId="32" r:id="rId3"/>
    <sheet name="Exemple_mois" sheetId="3" r:id="rId4"/>
    <sheet name="Décembre 2025" sheetId="18" r:id="rId5"/>
    <sheet name="Janvier 2026" sheetId="19" r:id="rId6"/>
    <sheet name="Février 2026" sheetId="20" r:id="rId7"/>
    <sheet name="Mars 2026" sheetId="21" r:id="rId8"/>
    <sheet name="Avril 2026" sheetId="22" r:id="rId9"/>
    <sheet name="Mai 2026" sheetId="23" r:id="rId10"/>
    <sheet name="Juin 2026" sheetId="24" r:id="rId11"/>
    <sheet name="Juillet 2026" sheetId="25" r:id="rId12"/>
    <sheet name="Août 2026" sheetId="26" r:id="rId13"/>
    <sheet name="Septembre 2026" sheetId="27" r:id="rId14"/>
    <sheet name="Octobre 2026" sheetId="28" r:id="rId15"/>
    <sheet name="Novembre 2026" sheetId="29" r:id="rId16"/>
    <sheet name="Décembre 2026" sheetId="30" r:id="rId17"/>
    <sheet name="Janvier 2027" sheetId="31" r:id="rId18"/>
  </sheets>
  <functionGroups builtInGroupCount="19"/>
  <definedNames>
    <definedName name="_xlchart.v1.0" hidden="1">Exemple_mois!$D$105:$O$105</definedName>
    <definedName name="_xlchart.v1.1" hidden="1">Exemple_mois!$D$106:$O$106</definedName>
    <definedName name="_xlchart.v1.10" hidden="1">'Décembre 2025'!$D$83:$P$83</definedName>
    <definedName name="_xlchart.v1.100" hidden="1">'Novembre 2026'!$W$105:$AH$105</definedName>
    <definedName name="_xlchart.v1.101" hidden="1">'Novembre 2026'!$W$106:$AH$106</definedName>
    <definedName name="_xlchart.v1.102" hidden="1">'Novembre 2026'!$D$105:$O$105</definedName>
    <definedName name="_xlchart.v1.103" hidden="1">'Novembre 2026'!$D$106:$O$106</definedName>
    <definedName name="_xlchart.v1.104" hidden="1">'Décembre 2026'!$W$83:$AH$83</definedName>
    <definedName name="_xlchart.v1.105" hidden="1">'Décembre 2026'!$W$84:$AH$84</definedName>
    <definedName name="_xlchart.v1.106" hidden="1">'Décembre 2026'!$D$83:$P$83</definedName>
    <definedName name="_xlchart.v1.107" hidden="1">'Décembre 2026'!$D$84:$P$84</definedName>
    <definedName name="_xlchart.v1.108" hidden="1">'Décembre 2026'!$D$105:$O$105</definedName>
    <definedName name="_xlchart.v1.109" hidden="1">'Décembre 2026'!$D$106:$O$106</definedName>
    <definedName name="_xlchart.v1.11" hidden="1">'Décembre 2025'!$D$84:$P$84</definedName>
    <definedName name="_xlchart.v1.110" hidden="1">'Décembre 2026'!$W$105:$AH$105</definedName>
    <definedName name="_xlchart.v1.111" hidden="1">'Décembre 2026'!$W$106:$AH$106</definedName>
    <definedName name="_xlchart.v1.112" hidden="1">'Janvier 2027'!$D$105:$O$105</definedName>
    <definedName name="_xlchart.v1.113" hidden="1">'Janvier 2027'!$D$106:$O$106</definedName>
    <definedName name="_xlchart.v1.114" hidden="1">'Janvier 2027'!$W$83:$AH$83</definedName>
    <definedName name="_xlchart.v1.115" hidden="1">'Janvier 2027'!$W$84:$AH$84</definedName>
    <definedName name="_xlchart.v1.116" hidden="1">'Janvier 2027'!$D$83:$P$83</definedName>
    <definedName name="_xlchart.v1.117" hidden="1">'Janvier 2027'!$D$84:$P$84</definedName>
    <definedName name="_xlchart.v1.118" hidden="1">'Janvier 2027'!$W$105:$AH$105</definedName>
    <definedName name="_xlchart.v1.119" hidden="1">'Janvier 2027'!$W$106:$AH$106</definedName>
    <definedName name="_xlchart.v1.12" hidden="1">'Décembre 2025'!$D$105:$O$105</definedName>
    <definedName name="_xlchart.v1.13" hidden="1">'Décembre 2025'!$D$106:$O$106</definedName>
    <definedName name="_xlchart.v1.14" hidden="1">'Décembre 2025'!$W$83:$AH$83</definedName>
    <definedName name="_xlchart.v1.15" hidden="1">'Décembre 2025'!$W$84:$AH$84</definedName>
    <definedName name="_xlchart.v1.16" hidden="1">'Janvier 2026'!$D$105:$O$105</definedName>
    <definedName name="_xlchart.v1.17" hidden="1">'Janvier 2026'!$D$106:$O$106</definedName>
    <definedName name="_xlchart.v1.18" hidden="1">'Janvier 2026'!$W$83:$AH$83</definedName>
    <definedName name="_xlchart.v1.19" hidden="1">'Janvier 2026'!$W$84:$AH$84</definedName>
    <definedName name="_xlchart.v1.2" hidden="1">Exemple_mois!$D$83:$P$83</definedName>
    <definedName name="_xlchart.v1.20" hidden="1">'Janvier 2026'!$D$83:$P$83</definedName>
    <definedName name="_xlchart.v1.21" hidden="1">'Janvier 2026'!$D$84:$P$84</definedName>
    <definedName name="_xlchart.v1.22" hidden="1">'Janvier 2026'!$W$105:$AH$105</definedName>
    <definedName name="_xlchart.v1.23" hidden="1">'Janvier 2026'!$W$106:$AH$106</definedName>
    <definedName name="_xlchart.v1.24" hidden="1">'Février 2026'!$D$105:$O$105</definedName>
    <definedName name="_xlchart.v1.25" hidden="1">'Février 2026'!$D$106:$O$106</definedName>
    <definedName name="_xlchart.v1.26" hidden="1">'Février 2026'!$W$83:$AE$83</definedName>
    <definedName name="_xlchart.v1.27" hidden="1">'Février 2026'!$W$84:$AE$84</definedName>
    <definedName name="_xlchart.v1.28" hidden="1">'Février 2026'!$W$105:$AE$105</definedName>
    <definedName name="_xlchart.v1.29" hidden="1">'Février 2026'!$W$106:$AE$106</definedName>
    <definedName name="_xlchart.v1.3" hidden="1">Exemple_mois!$D$84:$P$84</definedName>
    <definedName name="_xlchart.v1.30" hidden="1">'Février 2026'!$D$83:$P$83</definedName>
    <definedName name="_xlchart.v1.31" hidden="1">'Février 2026'!$D$84:$P$84</definedName>
    <definedName name="_xlchart.v1.32" hidden="1">'Mars 2026'!$D$105:$O$105</definedName>
    <definedName name="_xlchart.v1.33" hidden="1">'Mars 2026'!$D$106:$O$106</definedName>
    <definedName name="_xlchart.v1.34" hidden="1">'Mars 2026'!$W$105:$AH$105</definedName>
    <definedName name="_xlchart.v1.35" hidden="1">'Mars 2026'!$W$106:$AH$106</definedName>
    <definedName name="_xlchart.v1.36" hidden="1">'Mars 2026'!$D$83:$P$83</definedName>
    <definedName name="_xlchart.v1.37" hidden="1">'Mars 2026'!$D$84:$P$84</definedName>
    <definedName name="_xlchart.v1.38" hidden="1">'Mars 2026'!$W$83:$AH$83</definedName>
    <definedName name="_xlchart.v1.39" hidden="1">'Mars 2026'!$W$84:$AH$84</definedName>
    <definedName name="_xlchart.v1.4" hidden="1">Exemple_mois!$W$83:$AH$83</definedName>
    <definedName name="_xlchart.v1.40" hidden="1">'Avril 2026'!$D$105:$O$105</definedName>
    <definedName name="_xlchart.v1.41" hidden="1">'Avril 2026'!$D$106:$O$106</definedName>
    <definedName name="_xlchart.v1.42" hidden="1">'Avril 2026'!$D$83:$P$83</definedName>
    <definedName name="_xlchart.v1.43" hidden="1">'Avril 2026'!$D$84:$P$84</definedName>
    <definedName name="_xlchart.v1.44" hidden="1">'Avril 2026'!$W$83:$AG$83</definedName>
    <definedName name="_xlchart.v1.45" hidden="1">'Avril 2026'!$W$84:$AG$84</definedName>
    <definedName name="_xlchart.v1.46" hidden="1">'Avril 2026'!$W$105:$AG$105</definedName>
    <definedName name="_xlchart.v1.47" hidden="1">'Avril 2026'!$W$106:$AG$106</definedName>
    <definedName name="_xlchart.v1.48" hidden="1">'Mai 2026'!$W$83:$AH$83</definedName>
    <definedName name="_xlchart.v1.49" hidden="1">'Mai 2026'!$W$84:$AH$84</definedName>
    <definedName name="_xlchart.v1.5" hidden="1">Exemple_mois!$W$84:$AH$84</definedName>
    <definedName name="_xlchart.v1.50" hidden="1">'Mai 2026'!$W$105:$AH$105</definedName>
    <definedName name="_xlchart.v1.51" hidden="1">'Mai 2026'!$W$106:$AH$106</definedName>
    <definedName name="_xlchart.v1.52" hidden="1">'Mai 2026'!$D$105:$O$105</definedName>
    <definedName name="_xlchart.v1.53" hidden="1">'Mai 2026'!$D$106:$O$106</definedName>
    <definedName name="_xlchart.v1.54" hidden="1">'Mai 2026'!$D$83:$P$83</definedName>
    <definedName name="_xlchart.v1.55" hidden="1">'Mai 2026'!$D$84:$P$84</definedName>
    <definedName name="_xlchart.v1.56" hidden="1">'Juin 2026'!$D$83:$P$83</definedName>
    <definedName name="_xlchart.v1.57" hidden="1">'Juin 2026'!$D$84:$P$84</definedName>
    <definedName name="_xlchart.v1.58" hidden="1">'Juin 2026'!$D$105:$O$105</definedName>
    <definedName name="_xlchart.v1.59" hidden="1">'Juin 2026'!$D$106:$O$106</definedName>
    <definedName name="_xlchart.v1.6" hidden="1">Exemple_mois!$W$105:$AH$105</definedName>
    <definedName name="_xlchart.v1.60" hidden="1">'Juin 2026'!$W$105:$AG$105</definedName>
    <definedName name="_xlchart.v1.61" hidden="1">'Juin 2026'!$W$106:$AG$106</definedName>
    <definedName name="_xlchart.v1.62" hidden="1">'Juin 2026'!$W$83:$AG$83</definedName>
    <definedName name="_xlchart.v1.63" hidden="1">'Juin 2026'!$W$84:$AG$84</definedName>
    <definedName name="_xlchart.v1.64" hidden="1">'Juillet 2026'!$W$105:$AH$105</definedName>
    <definedName name="_xlchart.v1.65" hidden="1">'Juillet 2026'!$W$106:$AH$106</definedName>
    <definedName name="_xlchart.v1.66" hidden="1">'Juillet 2026'!$W$83:$AH$83</definedName>
    <definedName name="_xlchart.v1.67" hidden="1">'Juillet 2026'!$W$84:$AH$84</definedName>
    <definedName name="_xlchart.v1.68" hidden="1">'Juillet 2026'!$D$105:$O$105</definedName>
    <definedName name="_xlchart.v1.69" hidden="1">'Juillet 2026'!$D$106:$O$106</definedName>
    <definedName name="_xlchart.v1.7" hidden="1">Exemple_mois!$W$106:$AH$106</definedName>
    <definedName name="_xlchart.v1.70" hidden="1">'Juillet 2026'!$D$83:$P$83</definedName>
    <definedName name="_xlchart.v1.71" hidden="1">'Juillet 2026'!$D$84:$P$84</definedName>
    <definedName name="_xlchart.v1.72" hidden="1">'Août 2026'!$W$105:$AH$105</definedName>
    <definedName name="_xlchart.v1.73" hidden="1">'Août 2026'!$W$106:$AH$106</definedName>
    <definedName name="_xlchart.v1.74" hidden="1">'Août 2026'!$D$105:$O$105</definedName>
    <definedName name="_xlchart.v1.75" hidden="1">'Août 2026'!$D$106:$O$106</definedName>
    <definedName name="_xlchart.v1.76" hidden="1">'Août 2026'!$D$83:$P$83</definedName>
    <definedName name="_xlchart.v1.77" hidden="1">'Août 2026'!$D$84:$P$84</definedName>
    <definedName name="_xlchart.v1.78" hidden="1">'Août 2026'!$W$83:$AH$83</definedName>
    <definedName name="_xlchart.v1.79" hidden="1">'Août 2026'!$W$84:$AH$84</definedName>
    <definedName name="_xlchart.v1.8" hidden="1">'Décembre 2025'!$W$105:$AH$105</definedName>
    <definedName name="_xlchart.v1.80" hidden="1">'Septembre 2026'!$D$83:$P$83</definedName>
    <definedName name="_xlchart.v1.81" hidden="1">'Septembre 2026'!$D$84:$P$84</definedName>
    <definedName name="_xlchart.v1.82" hidden="1">'Septembre 2026'!$W$83:$AG$83</definedName>
    <definedName name="_xlchart.v1.83" hidden="1">'Septembre 2026'!$W$84:$AG$84</definedName>
    <definedName name="_xlchart.v1.84" hidden="1">'Septembre 2026'!$W$105:$AG$105</definedName>
    <definedName name="_xlchart.v1.85" hidden="1">'Septembre 2026'!$W$106:$AG$106</definedName>
    <definedName name="_xlchart.v1.86" hidden="1">'Septembre 2026'!$D$105:$O$105</definedName>
    <definedName name="_xlchart.v1.87" hidden="1">'Septembre 2026'!$D$106:$O$106</definedName>
    <definedName name="_xlchart.v1.88" hidden="1">'Octobre 2026'!$W$105:$AH$105</definedName>
    <definedName name="_xlchart.v1.89" hidden="1">'Octobre 2026'!$W$106:$AH$106</definedName>
    <definedName name="_xlchart.v1.9" hidden="1">'Décembre 2025'!$W$106:$AH$106</definedName>
    <definedName name="_xlchart.v1.90" hidden="1">'Octobre 2026'!$D$105:$O$105</definedName>
    <definedName name="_xlchart.v1.91" hidden="1">'Octobre 2026'!$D$106:$O$106</definedName>
    <definedName name="_xlchart.v1.92" hidden="1">'Octobre 2026'!$W$83:$AH$83</definedName>
    <definedName name="_xlchart.v1.93" hidden="1">'Octobre 2026'!$W$84:$AH$84</definedName>
    <definedName name="_xlchart.v1.94" hidden="1">'Octobre 2026'!$D$83:$P$83</definedName>
    <definedName name="_xlchart.v1.95" hidden="1">'Octobre 2026'!$D$84:$P$84</definedName>
    <definedName name="_xlchart.v1.96" hidden="1">'Novembre 2026'!$D$83:$P$83</definedName>
    <definedName name="_xlchart.v1.97" hidden="1">'Novembre 2026'!$D$84:$P$84</definedName>
    <definedName name="_xlchart.v1.98" hidden="1">'Novembre 2026'!$W$83:$AH$83</definedName>
    <definedName name="_xlchart.v1.99" hidden="1">'Novembre 2026'!$W$84:$AH$84</definedName>
    <definedName name="Annee">Menu!$C$19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0" i="2" l="1"/>
  <c r="F79" i="2"/>
  <c r="F76" i="2"/>
  <c r="F72" i="2"/>
  <c r="F71" i="2"/>
  <c r="F68" i="2"/>
  <c r="F67" i="2"/>
  <c r="F66" i="2"/>
  <c r="F65" i="2"/>
  <c r="F64" i="2"/>
  <c r="F63" i="2"/>
  <c r="F62" i="2"/>
  <c r="F58" i="2"/>
  <c r="F57" i="2"/>
  <c r="F55" i="2"/>
  <c r="F54" i="2"/>
  <c r="F53" i="2"/>
  <c r="F52" i="2"/>
  <c r="F51" i="2"/>
  <c r="F36" i="2"/>
  <c r="F34" i="2"/>
  <c r="F33" i="2"/>
  <c r="F31" i="2"/>
  <c r="AO3" i="32" l="1"/>
  <c r="AP3" i="32"/>
  <c r="AQ3" i="32"/>
  <c r="AR3" i="32"/>
  <c r="AS3" i="32"/>
  <c r="AT3" i="32"/>
  <c r="AU3" i="32"/>
  <c r="AV3" i="32"/>
  <c r="AW3" i="32"/>
  <c r="AX3" i="32"/>
  <c r="AY3" i="32"/>
  <c r="AZ3" i="32"/>
  <c r="AB3" i="32"/>
  <c r="AC3" i="32"/>
  <c r="AD3" i="32"/>
  <c r="AE3" i="32"/>
  <c r="AF3" i="32"/>
  <c r="AG3" i="32"/>
  <c r="AH3" i="32"/>
  <c r="AI3" i="32"/>
  <c r="AJ3" i="32"/>
  <c r="AK3" i="32"/>
  <c r="AL3" i="32"/>
  <c r="AM3" i="32"/>
  <c r="Z3" i="32"/>
  <c r="O3" i="32"/>
  <c r="P3" i="32"/>
  <c r="Q3" i="32"/>
  <c r="R3" i="32"/>
  <c r="S3" i="32"/>
  <c r="T3" i="32"/>
  <c r="U3" i="32"/>
  <c r="V3" i="32"/>
  <c r="W3" i="32"/>
  <c r="X3" i="32"/>
  <c r="Y3" i="32"/>
  <c r="B3" i="32"/>
  <c r="C3" i="32"/>
  <c r="D3" i="32"/>
  <c r="E3" i="32"/>
  <c r="F3" i="32"/>
  <c r="G3" i="32"/>
  <c r="H3" i="32"/>
  <c r="I3" i="32"/>
  <c r="J3" i="32"/>
  <c r="K3" i="32"/>
  <c r="L3" i="32"/>
  <c r="M3" i="32"/>
  <c r="B77" i="19"/>
  <c r="AH106" i="31"/>
  <c r="AG106" i="31"/>
  <c r="AF106" i="31"/>
  <c r="AE106" i="31"/>
  <c r="AD106" i="31"/>
  <c r="AC106" i="31"/>
  <c r="AB106" i="31"/>
  <c r="AA106" i="31"/>
  <c r="Z106" i="31"/>
  <c r="Y106" i="31"/>
  <c r="X106" i="31"/>
  <c r="W106" i="31"/>
  <c r="O106" i="31"/>
  <c r="N106" i="31"/>
  <c r="M106" i="31"/>
  <c r="L106" i="31"/>
  <c r="K106" i="31"/>
  <c r="J106" i="31"/>
  <c r="I106" i="31"/>
  <c r="H106" i="31"/>
  <c r="G106" i="31"/>
  <c r="F106" i="31"/>
  <c r="E106" i="31"/>
  <c r="D106" i="31"/>
  <c r="AH84" i="31"/>
  <c r="AG84" i="31"/>
  <c r="AF84" i="31"/>
  <c r="AE84" i="31"/>
  <c r="AD84" i="31"/>
  <c r="AC84" i="31"/>
  <c r="AB84" i="31"/>
  <c r="AA84" i="31"/>
  <c r="Z84" i="31"/>
  <c r="Y84" i="31"/>
  <c r="X84" i="31"/>
  <c r="W84" i="31"/>
  <c r="P84" i="31"/>
  <c r="O84" i="31"/>
  <c r="N84" i="31"/>
  <c r="M84" i="31"/>
  <c r="L84" i="31"/>
  <c r="K84" i="31"/>
  <c r="J84" i="31"/>
  <c r="I84" i="31"/>
  <c r="H84" i="31"/>
  <c r="G84" i="31"/>
  <c r="F84" i="31"/>
  <c r="E84" i="31"/>
  <c r="D84" i="31"/>
  <c r="AU80" i="31"/>
  <c r="AT80" i="31"/>
  <c r="AS80" i="31"/>
  <c r="AR80" i="31"/>
  <c r="AQ80" i="31"/>
  <c r="AP80" i="31"/>
  <c r="AO80" i="31"/>
  <c r="AN80" i="31"/>
  <c r="AM80" i="31"/>
  <c r="AL80" i="31"/>
  <c r="AK80" i="31"/>
  <c r="AJ80" i="31"/>
  <c r="AI80" i="31"/>
  <c r="C80" i="31"/>
  <c r="B80" i="31"/>
  <c r="A80" i="31"/>
  <c r="AU79" i="31"/>
  <c r="AT79" i="31"/>
  <c r="AS79" i="31"/>
  <c r="AR79" i="31"/>
  <c r="AQ79" i="31"/>
  <c r="AP79" i="31"/>
  <c r="AO79" i="31"/>
  <c r="AN79" i="31"/>
  <c r="AM79" i="31"/>
  <c r="AL79" i="31"/>
  <c r="AK79" i="31"/>
  <c r="AJ79" i="31"/>
  <c r="AI79" i="31"/>
  <c r="C79" i="31"/>
  <c r="B79" i="31"/>
  <c r="A79" i="31"/>
  <c r="C78" i="31"/>
  <c r="B78" i="31"/>
  <c r="A78" i="31"/>
  <c r="AU77" i="31"/>
  <c r="AT77" i="31"/>
  <c r="AS77" i="31"/>
  <c r="AR77" i="31"/>
  <c r="AQ77" i="31"/>
  <c r="AP77" i="31"/>
  <c r="AO77" i="31"/>
  <c r="AN77" i="31"/>
  <c r="AM77" i="31"/>
  <c r="AL77" i="31"/>
  <c r="AK77" i="31"/>
  <c r="AJ77" i="31"/>
  <c r="AI77" i="31"/>
  <c r="C77" i="31"/>
  <c r="B77" i="31"/>
  <c r="A77" i="31"/>
  <c r="AU76" i="31"/>
  <c r="AT76" i="31"/>
  <c r="AS76" i="31"/>
  <c r="AR76" i="31"/>
  <c r="AQ76" i="31"/>
  <c r="AP76" i="31"/>
  <c r="AO76" i="31"/>
  <c r="AN76" i="31"/>
  <c r="AM76" i="31"/>
  <c r="AL76" i="31"/>
  <c r="AK76" i="31"/>
  <c r="AJ76" i="31"/>
  <c r="AI76" i="31"/>
  <c r="C76" i="31"/>
  <c r="B76" i="31"/>
  <c r="A76" i="31"/>
  <c r="C75" i="31"/>
  <c r="B75" i="31"/>
  <c r="A75" i="31"/>
  <c r="AH74" i="31"/>
  <c r="AF74" i="31"/>
  <c r="AD74" i="31"/>
  <c r="Z74" i="31"/>
  <c r="X74" i="31"/>
  <c r="V74" i="31"/>
  <c r="T74" i="31"/>
  <c r="R74" i="31"/>
  <c r="N74" i="31"/>
  <c r="L74" i="31"/>
  <c r="J74" i="31"/>
  <c r="H74" i="31"/>
  <c r="F74" i="31"/>
  <c r="C74" i="31"/>
  <c r="B74" i="31"/>
  <c r="A74" i="31"/>
  <c r="AH73" i="31"/>
  <c r="AG73" i="31"/>
  <c r="AF73" i="31"/>
  <c r="AE73" i="31"/>
  <c r="AD73" i="31"/>
  <c r="AC73" i="31"/>
  <c r="AB73" i="31"/>
  <c r="AA73" i="31"/>
  <c r="Z73" i="31"/>
  <c r="Y73" i="31"/>
  <c r="X73" i="31"/>
  <c r="W73" i="31"/>
  <c r="V73" i="31"/>
  <c r="U73" i="31"/>
  <c r="T73" i="31"/>
  <c r="S73" i="31"/>
  <c r="R73" i="31"/>
  <c r="Q73" i="31"/>
  <c r="P73" i="31"/>
  <c r="O73" i="31"/>
  <c r="N73" i="31"/>
  <c r="M73" i="31"/>
  <c r="L73" i="31"/>
  <c r="K73" i="31"/>
  <c r="J73" i="31"/>
  <c r="I73" i="31"/>
  <c r="H73" i="31"/>
  <c r="G73" i="31"/>
  <c r="F73" i="31"/>
  <c r="E73" i="31"/>
  <c r="D73" i="31"/>
  <c r="C73" i="31"/>
  <c r="B73" i="31"/>
  <c r="A73" i="31"/>
  <c r="AU72" i="31"/>
  <c r="AT72" i="31"/>
  <c r="AS72" i="31"/>
  <c r="AR72" i="31"/>
  <c r="AQ72" i="31"/>
  <c r="AP72" i="31"/>
  <c r="AO72" i="31"/>
  <c r="AN72" i="31"/>
  <c r="AM72" i="31"/>
  <c r="AL72" i="31"/>
  <c r="AK72" i="31"/>
  <c r="AJ72" i="31"/>
  <c r="AI72" i="31"/>
  <c r="C72" i="31"/>
  <c r="B72" i="31"/>
  <c r="A72" i="31"/>
  <c r="AU71" i="31"/>
  <c r="AT71" i="31"/>
  <c r="AS71" i="31"/>
  <c r="AR71" i="31"/>
  <c r="AQ71" i="31"/>
  <c r="AP71" i="31"/>
  <c r="AO71" i="31"/>
  <c r="AN71" i="31"/>
  <c r="AM71" i="31"/>
  <c r="AL71" i="31"/>
  <c r="AK71" i="31"/>
  <c r="AJ71" i="31"/>
  <c r="AI71" i="31"/>
  <c r="C71" i="31"/>
  <c r="B71" i="31"/>
  <c r="A71" i="31"/>
  <c r="AU70" i="31"/>
  <c r="AT70" i="31"/>
  <c r="AS70" i="31"/>
  <c r="AR70" i="31"/>
  <c r="AQ70" i="31"/>
  <c r="AP70" i="31"/>
  <c r="AO70" i="31"/>
  <c r="AN70" i="31"/>
  <c r="AM70" i="31"/>
  <c r="AL70" i="31"/>
  <c r="AK70" i="31"/>
  <c r="AJ70" i="31"/>
  <c r="AI70" i="31"/>
  <c r="C70" i="31"/>
  <c r="B70" i="31"/>
  <c r="A70" i="31"/>
  <c r="AU69" i="31"/>
  <c r="AT69" i="31"/>
  <c r="AS69" i="31"/>
  <c r="AR69" i="31"/>
  <c r="AQ69" i="31"/>
  <c r="AP69" i="31"/>
  <c r="AO69" i="31"/>
  <c r="AN69" i="31"/>
  <c r="AM69" i="31"/>
  <c r="AL69" i="31"/>
  <c r="AK69" i="31"/>
  <c r="AJ69" i="31"/>
  <c r="AI69" i="31"/>
  <c r="C69" i="31"/>
  <c r="B69" i="31"/>
  <c r="A69" i="31"/>
  <c r="AU68" i="31"/>
  <c r="AT68" i="31"/>
  <c r="AS68" i="31"/>
  <c r="AR68" i="31"/>
  <c r="AQ68" i="31"/>
  <c r="AP68" i="31"/>
  <c r="AO68" i="31"/>
  <c r="AN68" i="31"/>
  <c r="AM68" i="31"/>
  <c r="AL68" i="31"/>
  <c r="AK68" i="31"/>
  <c r="AJ68" i="31"/>
  <c r="AI68" i="31"/>
  <c r="C68" i="31"/>
  <c r="B68" i="31"/>
  <c r="A68" i="31"/>
  <c r="AU67" i="31"/>
  <c r="AT67" i="31"/>
  <c r="AS67" i="31"/>
  <c r="AR67" i="31"/>
  <c r="AQ67" i="31"/>
  <c r="AP67" i="31"/>
  <c r="AO67" i="31"/>
  <c r="AN67" i="31"/>
  <c r="AM67" i="31"/>
  <c r="AL67" i="31"/>
  <c r="AK67" i="31"/>
  <c r="AJ67" i="31"/>
  <c r="AI67" i="31"/>
  <c r="C67" i="31"/>
  <c r="B67" i="31"/>
  <c r="A67" i="31"/>
  <c r="AU66" i="31"/>
  <c r="AT66" i="31"/>
  <c r="AS66" i="31"/>
  <c r="AR66" i="31"/>
  <c r="AQ66" i="31"/>
  <c r="AP66" i="31"/>
  <c r="AO66" i="31"/>
  <c r="AN66" i="31"/>
  <c r="AM66" i="31"/>
  <c r="AL66" i="31"/>
  <c r="AK66" i="31"/>
  <c r="AJ66" i="31"/>
  <c r="AI66" i="31"/>
  <c r="C66" i="31"/>
  <c r="B66" i="31"/>
  <c r="A66" i="31"/>
  <c r="AU65" i="31"/>
  <c r="AT65" i="31"/>
  <c r="AS65" i="31"/>
  <c r="AR65" i="31"/>
  <c r="AQ65" i="31"/>
  <c r="AP65" i="31"/>
  <c r="AO65" i="31"/>
  <c r="AN65" i="31"/>
  <c r="AM65" i="31"/>
  <c r="AL65" i="31"/>
  <c r="AK65" i="31"/>
  <c r="AJ65" i="31"/>
  <c r="AI65" i="31"/>
  <c r="C65" i="31"/>
  <c r="B65" i="31"/>
  <c r="A65" i="31"/>
  <c r="AU64" i="31"/>
  <c r="AT64" i="31"/>
  <c r="AS64" i="31"/>
  <c r="AR64" i="31"/>
  <c r="AQ64" i="31"/>
  <c r="AP64" i="31"/>
  <c r="AO64" i="31"/>
  <c r="AN64" i="31"/>
  <c r="AM64" i="31"/>
  <c r="AL64" i="31"/>
  <c r="AK64" i="31"/>
  <c r="AJ64" i="31"/>
  <c r="AI64" i="31"/>
  <c r="C64" i="31"/>
  <c r="B64" i="31"/>
  <c r="A64" i="31"/>
  <c r="AU63" i="31"/>
  <c r="AT63" i="31"/>
  <c r="AS63" i="31"/>
  <c r="AR63" i="31"/>
  <c r="AQ63" i="31"/>
  <c r="AP63" i="31"/>
  <c r="AO63" i="31"/>
  <c r="AN63" i="31"/>
  <c r="AM63" i="31"/>
  <c r="AL63" i="31"/>
  <c r="AK63" i="31"/>
  <c r="AJ63" i="31"/>
  <c r="AI63" i="31"/>
  <c r="C63" i="31"/>
  <c r="B63" i="31"/>
  <c r="A63" i="31"/>
  <c r="AU62" i="31"/>
  <c r="AT62" i="31"/>
  <c r="AS62" i="31"/>
  <c r="AR62" i="31"/>
  <c r="AQ62" i="31"/>
  <c r="AP62" i="31"/>
  <c r="AO62" i="31"/>
  <c r="AN62" i="31"/>
  <c r="AM62" i="31"/>
  <c r="AL62" i="31"/>
  <c r="AK62" i="31"/>
  <c r="AJ62" i="31"/>
  <c r="AI62" i="31"/>
  <c r="C62" i="31"/>
  <c r="B62" i="31"/>
  <c r="A62" i="31"/>
  <c r="C61" i="31"/>
  <c r="B61" i="31"/>
  <c r="A61" i="31"/>
  <c r="AH60" i="31"/>
  <c r="AG60" i="31"/>
  <c r="AG74" i="31" s="1"/>
  <c r="AF60" i="31"/>
  <c r="AE60" i="31"/>
  <c r="AE74" i="31" s="1"/>
  <c r="AD60" i="31"/>
  <c r="AC60" i="31"/>
  <c r="AC74" i="31" s="1"/>
  <c r="AB60" i="31"/>
  <c r="AB74" i="31" s="1"/>
  <c r="AA60" i="31"/>
  <c r="AA74" i="31" s="1"/>
  <c r="Z60" i="31"/>
  <c r="Y60" i="31"/>
  <c r="Y74" i="31" s="1"/>
  <c r="X60" i="31"/>
  <c r="W60" i="31"/>
  <c r="W74" i="31" s="1"/>
  <c r="V60" i="31"/>
  <c r="U60" i="31"/>
  <c r="U74" i="31" s="1"/>
  <c r="T60" i="31"/>
  <c r="S60" i="31"/>
  <c r="S74" i="31" s="1"/>
  <c r="R60" i="31"/>
  <c r="Q60" i="31"/>
  <c r="Q74" i="31" s="1"/>
  <c r="P60" i="31"/>
  <c r="P74" i="31" s="1"/>
  <c r="O60" i="31"/>
  <c r="O74" i="31" s="1"/>
  <c r="N60" i="31"/>
  <c r="M60" i="31"/>
  <c r="M74" i="31" s="1"/>
  <c r="L60" i="31"/>
  <c r="K60" i="31"/>
  <c r="K74" i="31" s="1"/>
  <c r="J60" i="31"/>
  <c r="I60" i="31"/>
  <c r="I74" i="31" s="1"/>
  <c r="H60" i="31"/>
  <c r="G60" i="31"/>
  <c r="G74" i="31" s="1"/>
  <c r="F60" i="31"/>
  <c r="E60" i="31"/>
  <c r="E74" i="31" s="1"/>
  <c r="D60" i="31"/>
  <c r="D74" i="31" s="1"/>
  <c r="C60" i="31"/>
  <c r="B60" i="31"/>
  <c r="A60" i="31"/>
  <c r="AU59" i="31"/>
  <c r="AT59" i="31"/>
  <c r="AS59" i="31"/>
  <c r="AR59" i="31"/>
  <c r="AQ59" i="31"/>
  <c r="AP59" i="31"/>
  <c r="AO59" i="31"/>
  <c r="AN59" i="31"/>
  <c r="AM59" i="31"/>
  <c r="AL59" i="31"/>
  <c r="AK59" i="31"/>
  <c r="AJ59" i="31"/>
  <c r="AI59" i="31"/>
  <c r="C59" i="31"/>
  <c r="B59" i="31"/>
  <c r="A59" i="31"/>
  <c r="AU58" i="31"/>
  <c r="AT58" i="31"/>
  <c r="AS58" i="31"/>
  <c r="AR58" i="31"/>
  <c r="AQ58" i="31"/>
  <c r="AP58" i="31"/>
  <c r="AO58" i="31"/>
  <c r="AN58" i="31"/>
  <c r="AM58" i="31"/>
  <c r="AL58" i="31"/>
  <c r="AK58" i="31"/>
  <c r="AJ58" i="31"/>
  <c r="AI58" i="31"/>
  <c r="C58" i="31"/>
  <c r="B58" i="31"/>
  <c r="A58" i="31"/>
  <c r="AU57" i="31"/>
  <c r="AT57" i="31"/>
  <c r="AS57" i="31"/>
  <c r="AR57" i="31"/>
  <c r="AQ57" i="31"/>
  <c r="AP57" i="31"/>
  <c r="AO57" i="31"/>
  <c r="AN57" i="31"/>
  <c r="AM57" i="31"/>
  <c r="AL57" i="31"/>
  <c r="AK57" i="31"/>
  <c r="AJ57" i="31"/>
  <c r="AI57" i="31"/>
  <c r="C57" i="31"/>
  <c r="B57" i="31"/>
  <c r="A57" i="31"/>
  <c r="AU56" i="31"/>
  <c r="AT56" i="31"/>
  <c r="AS56" i="31"/>
  <c r="AR56" i="31"/>
  <c r="AQ56" i="31"/>
  <c r="AP56" i="31"/>
  <c r="AO56" i="31"/>
  <c r="AN56" i="31"/>
  <c r="AM56" i="31"/>
  <c r="AL56" i="31"/>
  <c r="AK56" i="31"/>
  <c r="AJ56" i="31"/>
  <c r="AI56" i="31"/>
  <c r="C56" i="31"/>
  <c r="B56" i="31"/>
  <c r="A56" i="31"/>
  <c r="AU55" i="31"/>
  <c r="AT55" i="31"/>
  <c r="AS55" i="31"/>
  <c r="AR55" i="31"/>
  <c r="AQ55" i="31"/>
  <c r="AP55" i="31"/>
  <c r="AO55" i="31"/>
  <c r="AN55" i="31"/>
  <c r="AM55" i="31"/>
  <c r="AL55" i="31"/>
  <c r="AK55" i="31"/>
  <c r="AJ55" i="31"/>
  <c r="AI55" i="31"/>
  <c r="C55" i="31"/>
  <c r="B55" i="31"/>
  <c r="A55" i="31"/>
  <c r="AU54" i="31"/>
  <c r="AT54" i="31"/>
  <c r="AS54" i="31"/>
  <c r="AR54" i="31"/>
  <c r="AQ54" i="31"/>
  <c r="AP54" i="31"/>
  <c r="AO54" i="31"/>
  <c r="AN54" i="31"/>
  <c r="AM54" i="31"/>
  <c r="AL54" i="31"/>
  <c r="AK54" i="31"/>
  <c r="AJ54" i="31"/>
  <c r="AI54" i="31"/>
  <c r="C54" i="31"/>
  <c r="B54" i="31"/>
  <c r="A54" i="31"/>
  <c r="AU53" i="31"/>
  <c r="AT53" i="31"/>
  <c r="AS53" i="31"/>
  <c r="AR53" i="31"/>
  <c r="AQ53" i="31"/>
  <c r="AP53" i="31"/>
  <c r="AO53" i="31"/>
  <c r="AN53" i="31"/>
  <c r="AM53" i="31"/>
  <c r="AL53" i="31"/>
  <c r="AK53" i="31"/>
  <c r="AJ53" i="31"/>
  <c r="AI53" i="31"/>
  <c r="C53" i="31"/>
  <c r="B53" i="31"/>
  <c r="A53" i="31"/>
  <c r="AU52" i="31"/>
  <c r="AT52" i="31"/>
  <c r="AS52" i="31"/>
  <c r="AR52" i="31"/>
  <c r="AQ52" i="31"/>
  <c r="AP52" i="31"/>
  <c r="AO52" i="31"/>
  <c r="AN52" i="31"/>
  <c r="AM52" i="31"/>
  <c r="AL52" i="31"/>
  <c r="AK52" i="31"/>
  <c r="AJ52" i="31"/>
  <c r="AI52" i="31"/>
  <c r="C52" i="31"/>
  <c r="B52" i="31"/>
  <c r="A52" i="31"/>
  <c r="AU51" i="31"/>
  <c r="AT51" i="31"/>
  <c r="AS51" i="31"/>
  <c r="AR51" i="31"/>
  <c r="AQ51" i="31"/>
  <c r="AP51" i="31"/>
  <c r="AO51" i="31"/>
  <c r="AN51" i="31"/>
  <c r="AM51" i="31"/>
  <c r="AL51" i="31"/>
  <c r="AK51" i="31"/>
  <c r="AJ51" i="31"/>
  <c r="AI51" i="31"/>
  <c r="C51" i="31"/>
  <c r="B51" i="31"/>
  <c r="A51" i="31"/>
  <c r="AU50" i="31"/>
  <c r="AT50" i="31"/>
  <c r="AS50" i="31"/>
  <c r="AR50" i="31"/>
  <c r="AQ50" i="31"/>
  <c r="AP50" i="31"/>
  <c r="AO50" i="31"/>
  <c r="AN50" i="31"/>
  <c r="AM50" i="31"/>
  <c r="AL50" i="31"/>
  <c r="AK50" i="31"/>
  <c r="AJ50" i="31"/>
  <c r="AI50" i="31"/>
  <c r="C50" i="31"/>
  <c r="B50" i="31"/>
  <c r="A50" i="31"/>
  <c r="C49" i="31"/>
  <c r="B49" i="31"/>
  <c r="A49" i="31"/>
  <c r="AU48" i="31"/>
  <c r="AT48" i="31"/>
  <c r="AS48" i="31"/>
  <c r="AR48" i="31"/>
  <c r="AQ48" i="31"/>
  <c r="AP48" i="31"/>
  <c r="AO48" i="31"/>
  <c r="AN48" i="31"/>
  <c r="AM48" i="31"/>
  <c r="AL48" i="31"/>
  <c r="AK48" i="31"/>
  <c r="AJ48" i="31"/>
  <c r="AI48" i="31"/>
  <c r="C48" i="31"/>
  <c r="B48" i="31"/>
  <c r="A48" i="31"/>
  <c r="AU47" i="31"/>
  <c r="AT47" i="31"/>
  <c r="AS47" i="31"/>
  <c r="AR47" i="31"/>
  <c r="AQ47" i="31"/>
  <c r="AP47" i="31"/>
  <c r="AO47" i="31"/>
  <c r="AN47" i="31"/>
  <c r="AM47" i="31"/>
  <c r="AL47" i="31"/>
  <c r="AK47" i="31"/>
  <c r="AJ47" i="31"/>
  <c r="AI47" i="31"/>
  <c r="C47" i="31"/>
  <c r="B47" i="31"/>
  <c r="A47" i="31"/>
  <c r="C46" i="31"/>
  <c r="B46" i="31"/>
  <c r="A46" i="31"/>
  <c r="AU45" i="31"/>
  <c r="AT45" i="31"/>
  <c r="AS45" i="31"/>
  <c r="AR45" i="31"/>
  <c r="AQ45" i="31"/>
  <c r="AP45" i="31"/>
  <c r="AO45" i="31"/>
  <c r="AN45" i="31"/>
  <c r="AM45" i="31"/>
  <c r="AL45" i="31"/>
  <c r="AK45" i="31"/>
  <c r="AJ45" i="31"/>
  <c r="AI45" i="31"/>
  <c r="C45" i="31"/>
  <c r="B45" i="31"/>
  <c r="A45" i="31"/>
  <c r="AU44" i="31"/>
  <c r="AT44" i="31"/>
  <c r="AS44" i="31"/>
  <c r="AR44" i="31"/>
  <c r="AQ44" i="31"/>
  <c r="AP44" i="31"/>
  <c r="AO44" i="31"/>
  <c r="AN44" i="31"/>
  <c r="AM44" i="31"/>
  <c r="AL44" i="31"/>
  <c r="AK44" i="31"/>
  <c r="AJ44" i="31"/>
  <c r="AI44" i="31"/>
  <c r="C44" i="31"/>
  <c r="B44" i="31"/>
  <c r="A44" i="31"/>
  <c r="C43" i="31"/>
  <c r="B43" i="31"/>
  <c r="A43" i="31"/>
  <c r="AU42" i="31"/>
  <c r="AT42" i="31"/>
  <c r="AS42" i="31"/>
  <c r="AR42" i="31"/>
  <c r="AQ42" i="31"/>
  <c r="AP42" i="31"/>
  <c r="AO42" i="31"/>
  <c r="AN42" i="31"/>
  <c r="AM42" i="31"/>
  <c r="AL42" i="31"/>
  <c r="AK42" i="31"/>
  <c r="AJ42" i="31"/>
  <c r="AI42" i="31"/>
  <c r="C42" i="31"/>
  <c r="B42" i="31"/>
  <c r="A42" i="31"/>
  <c r="C41" i="31"/>
  <c r="B41" i="31"/>
  <c r="A41" i="31"/>
  <c r="AU40" i="31"/>
  <c r="AT40" i="31"/>
  <c r="AS40" i="31"/>
  <c r="AR40" i="31"/>
  <c r="AQ40" i="31"/>
  <c r="AP40" i="31"/>
  <c r="AO40" i="31"/>
  <c r="AN40" i="31"/>
  <c r="AM40" i="31"/>
  <c r="AL40" i="31"/>
  <c r="AK40" i="31"/>
  <c r="AJ40" i="31"/>
  <c r="AI40" i="31"/>
  <c r="C40" i="31"/>
  <c r="B40" i="31"/>
  <c r="A40" i="31"/>
  <c r="C39" i="31"/>
  <c r="B39" i="31"/>
  <c r="A39" i="31"/>
  <c r="C38" i="31"/>
  <c r="B38" i="31"/>
  <c r="A38" i="31"/>
  <c r="AH37" i="31"/>
  <c r="AG37" i="31"/>
  <c r="AF37" i="31"/>
  <c r="AE37" i="31"/>
  <c r="AD37" i="31"/>
  <c r="AC37" i="31"/>
  <c r="AB37" i="31"/>
  <c r="AA37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I37" i="31"/>
  <c r="H37" i="31"/>
  <c r="G37" i="31"/>
  <c r="F37" i="31"/>
  <c r="E37" i="31"/>
  <c r="D37" i="31"/>
  <c r="C37" i="31"/>
  <c r="B37" i="31"/>
  <c r="A37" i="31"/>
  <c r="AU36" i="31"/>
  <c r="AT36" i="31"/>
  <c r="AS36" i="31"/>
  <c r="AR36" i="31"/>
  <c r="AQ36" i="31"/>
  <c r="AP36" i="31"/>
  <c r="AO36" i="31"/>
  <c r="AN36" i="31"/>
  <c r="AM36" i="31"/>
  <c r="AL36" i="31"/>
  <c r="AK36" i="31"/>
  <c r="AJ36" i="31"/>
  <c r="AI36" i="31"/>
  <c r="C36" i="31"/>
  <c r="B36" i="31"/>
  <c r="A36" i="31"/>
  <c r="C35" i="31"/>
  <c r="B35" i="31"/>
  <c r="A35" i="31"/>
  <c r="AU34" i="31"/>
  <c r="AT34" i="31"/>
  <c r="AS34" i="31"/>
  <c r="AR34" i="31"/>
  <c r="AQ34" i="31"/>
  <c r="AP34" i="31"/>
  <c r="AO34" i="31"/>
  <c r="AN34" i="31"/>
  <c r="AM34" i="31"/>
  <c r="AL34" i="31"/>
  <c r="AK34" i="31"/>
  <c r="AJ34" i="31"/>
  <c r="AI34" i="31"/>
  <c r="C34" i="31"/>
  <c r="B34" i="31"/>
  <c r="A34" i="31"/>
  <c r="AU33" i="31"/>
  <c r="AT33" i="31"/>
  <c r="AS33" i="31"/>
  <c r="AR33" i="31"/>
  <c r="AQ33" i="31"/>
  <c r="AP33" i="31"/>
  <c r="AO33" i="31"/>
  <c r="AN33" i="31"/>
  <c r="AM33" i="31"/>
  <c r="AL33" i="31"/>
  <c r="AK33" i="31"/>
  <c r="AJ33" i="31"/>
  <c r="AI33" i="31"/>
  <c r="C33" i="31"/>
  <c r="B33" i="31"/>
  <c r="A33" i="31"/>
  <c r="C32" i="31"/>
  <c r="B32" i="31"/>
  <c r="A32" i="31"/>
  <c r="AU31" i="31"/>
  <c r="AT31" i="31"/>
  <c r="AS31" i="31"/>
  <c r="AR31" i="31"/>
  <c r="AQ31" i="31"/>
  <c r="AP31" i="31"/>
  <c r="AO31" i="31"/>
  <c r="AN31" i="31"/>
  <c r="AM31" i="31"/>
  <c r="AL31" i="31"/>
  <c r="AK31" i="31"/>
  <c r="AJ31" i="31"/>
  <c r="AI31" i="31"/>
  <c r="C31" i="31"/>
  <c r="B31" i="31"/>
  <c r="A31" i="31"/>
  <c r="C30" i="31"/>
  <c r="B30" i="31"/>
  <c r="A30" i="31"/>
  <c r="AU29" i="31"/>
  <c r="AT29" i="31"/>
  <c r="AS29" i="31"/>
  <c r="AR29" i="31"/>
  <c r="AQ29" i="31"/>
  <c r="AP29" i="31"/>
  <c r="AO29" i="31"/>
  <c r="AN29" i="31"/>
  <c r="AM29" i="31"/>
  <c r="AL29" i="31"/>
  <c r="AK29" i="31"/>
  <c r="AJ29" i="31"/>
  <c r="AI29" i="31"/>
  <c r="C29" i="31"/>
  <c r="B29" i="31"/>
  <c r="A29" i="31"/>
  <c r="AU28" i="31"/>
  <c r="AT28" i="31"/>
  <c r="AS28" i="31"/>
  <c r="AR28" i="31"/>
  <c r="AQ28" i="31"/>
  <c r="AP28" i="31"/>
  <c r="AO28" i="31"/>
  <c r="AN28" i="31"/>
  <c r="AM28" i="31"/>
  <c r="AL28" i="31"/>
  <c r="AK28" i="31"/>
  <c r="AJ28" i="31"/>
  <c r="AI28" i="31"/>
  <c r="C28" i="31"/>
  <c r="B28" i="31"/>
  <c r="A28" i="31"/>
  <c r="AU27" i="31"/>
  <c r="AT27" i="31"/>
  <c r="AS27" i="31"/>
  <c r="AR27" i="31"/>
  <c r="AQ27" i="31"/>
  <c r="AP27" i="31"/>
  <c r="AO27" i="31"/>
  <c r="AN27" i="31"/>
  <c r="AM27" i="31"/>
  <c r="AL27" i="31"/>
  <c r="AK27" i="31"/>
  <c r="AJ27" i="31"/>
  <c r="AI27" i="31"/>
  <c r="C27" i="31"/>
  <c r="B27" i="31"/>
  <c r="A27" i="31"/>
  <c r="AU26" i="31"/>
  <c r="AT26" i="31"/>
  <c r="AS26" i="31"/>
  <c r="AR26" i="31"/>
  <c r="AQ26" i="31"/>
  <c r="AP26" i="31"/>
  <c r="AO26" i="31"/>
  <c r="AN26" i="31"/>
  <c r="AM26" i="31"/>
  <c r="AL26" i="31"/>
  <c r="AK26" i="31"/>
  <c r="AJ26" i="31"/>
  <c r="AI26" i="31"/>
  <c r="C26" i="31"/>
  <c r="B26" i="31"/>
  <c r="A26" i="31"/>
  <c r="C25" i="31"/>
  <c r="B25" i="31"/>
  <c r="A25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C24" i="31"/>
  <c r="B24" i="31"/>
  <c r="A24" i="31"/>
  <c r="AU23" i="31"/>
  <c r="AT23" i="31"/>
  <c r="AS23" i="31"/>
  <c r="AR23" i="31"/>
  <c r="AQ23" i="31"/>
  <c r="AP23" i="31"/>
  <c r="AO23" i="31"/>
  <c r="AN23" i="31"/>
  <c r="AM23" i="31"/>
  <c r="AL23" i="31"/>
  <c r="AK23" i="31"/>
  <c r="AJ23" i="31"/>
  <c r="AI23" i="31"/>
  <c r="C23" i="31"/>
  <c r="B23" i="31"/>
  <c r="A23" i="31"/>
  <c r="C22" i="31"/>
  <c r="B22" i="31"/>
  <c r="A22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C21" i="31"/>
  <c r="B21" i="31"/>
  <c r="A21" i="31"/>
  <c r="C20" i="31"/>
  <c r="B20" i="31"/>
  <c r="A20" i="31"/>
  <c r="AU19" i="31"/>
  <c r="AT19" i="31"/>
  <c r="AS19" i="31"/>
  <c r="AR19" i="31"/>
  <c r="AQ19" i="31"/>
  <c r="AP19" i="31"/>
  <c r="AO19" i="31"/>
  <c r="AN19" i="31"/>
  <c r="AM19" i="31"/>
  <c r="AL19" i="31"/>
  <c r="AK19" i="31"/>
  <c r="AJ19" i="31"/>
  <c r="AI19" i="31"/>
  <c r="C19" i="31"/>
  <c r="B19" i="31"/>
  <c r="A19" i="31"/>
  <c r="C18" i="31"/>
  <c r="B18" i="31"/>
  <c r="A18" i="31"/>
  <c r="AU17" i="31"/>
  <c r="AT17" i="31"/>
  <c r="AS17" i="31"/>
  <c r="AR17" i="31"/>
  <c r="AQ17" i="31"/>
  <c r="AP17" i="31"/>
  <c r="AO17" i="31"/>
  <c r="AN17" i="31"/>
  <c r="AM17" i="31"/>
  <c r="AL17" i="31"/>
  <c r="AK17" i="31"/>
  <c r="AJ17" i="31"/>
  <c r="AI17" i="31"/>
  <c r="C17" i="31"/>
  <c r="B17" i="31"/>
  <c r="A17" i="31"/>
  <c r="C16" i="31"/>
  <c r="B16" i="31"/>
  <c r="A16" i="31"/>
  <c r="C15" i="31"/>
  <c r="B15" i="31"/>
  <c r="A15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C14" i="31"/>
  <c r="B14" i="31"/>
  <c r="A14" i="31"/>
  <c r="C13" i="31"/>
  <c r="B13" i="31"/>
  <c r="A13" i="31"/>
  <c r="AU12" i="31"/>
  <c r="AT12" i="31"/>
  <c r="AS12" i="31"/>
  <c r="AR12" i="31"/>
  <c r="AQ12" i="31"/>
  <c r="AP12" i="31"/>
  <c r="AO12" i="31"/>
  <c r="AN12" i="31"/>
  <c r="AM12" i="31"/>
  <c r="AL12" i="31"/>
  <c r="AK12" i="31"/>
  <c r="AJ12" i="31"/>
  <c r="AI12" i="31"/>
  <c r="C12" i="31"/>
  <c r="B12" i="31"/>
  <c r="A12" i="31"/>
  <c r="C11" i="31"/>
  <c r="B11" i="31"/>
  <c r="A11" i="31"/>
  <c r="AH106" i="30"/>
  <c r="AG106" i="30"/>
  <c r="AF106" i="30"/>
  <c r="AE106" i="30"/>
  <c r="AD106" i="30"/>
  <c r="AC106" i="30"/>
  <c r="AB106" i="30"/>
  <c r="AA106" i="30"/>
  <c r="Z106" i="30"/>
  <c r="Y106" i="30"/>
  <c r="X106" i="30"/>
  <c r="W106" i="30"/>
  <c r="O106" i="30"/>
  <c r="N106" i="30"/>
  <c r="M106" i="30"/>
  <c r="L106" i="30"/>
  <c r="K106" i="30"/>
  <c r="J106" i="30"/>
  <c r="I106" i="30"/>
  <c r="H106" i="30"/>
  <c r="G106" i="30"/>
  <c r="F106" i="30"/>
  <c r="E106" i="30"/>
  <c r="D106" i="30"/>
  <c r="AH84" i="30"/>
  <c r="AG84" i="30"/>
  <c r="AF84" i="30"/>
  <c r="AE84" i="30"/>
  <c r="AD84" i="30"/>
  <c r="AC84" i="30"/>
  <c r="AB84" i="30"/>
  <c r="AA84" i="30"/>
  <c r="Z84" i="30"/>
  <c r="Y84" i="30"/>
  <c r="X84" i="30"/>
  <c r="W84" i="30"/>
  <c r="P84" i="30"/>
  <c r="O84" i="30"/>
  <c r="N84" i="30"/>
  <c r="M84" i="30"/>
  <c r="L84" i="30"/>
  <c r="K84" i="30"/>
  <c r="J84" i="30"/>
  <c r="I84" i="30"/>
  <c r="H84" i="30"/>
  <c r="G84" i="30"/>
  <c r="F84" i="30"/>
  <c r="E84" i="30"/>
  <c r="D84" i="30"/>
  <c r="AU80" i="30"/>
  <c r="AT80" i="30"/>
  <c r="AS80" i="30"/>
  <c r="AR80" i="30"/>
  <c r="AQ80" i="30"/>
  <c r="AP80" i="30"/>
  <c r="AO80" i="30"/>
  <c r="AN80" i="30"/>
  <c r="AM80" i="30"/>
  <c r="AL80" i="30"/>
  <c r="AK80" i="30"/>
  <c r="AJ80" i="30"/>
  <c r="AI80" i="30"/>
  <c r="C80" i="30"/>
  <c r="B80" i="30"/>
  <c r="A80" i="30"/>
  <c r="AU79" i="30"/>
  <c r="AT79" i="30"/>
  <c r="AS79" i="30"/>
  <c r="AR79" i="30"/>
  <c r="AQ79" i="30"/>
  <c r="AP79" i="30"/>
  <c r="AO79" i="30"/>
  <c r="AN79" i="30"/>
  <c r="AM79" i="30"/>
  <c r="AL79" i="30"/>
  <c r="AK79" i="30"/>
  <c r="AJ79" i="30"/>
  <c r="AI79" i="30"/>
  <c r="C79" i="30"/>
  <c r="B79" i="30"/>
  <c r="A79" i="30"/>
  <c r="C78" i="30"/>
  <c r="B78" i="30"/>
  <c r="A78" i="30"/>
  <c r="AU77" i="30"/>
  <c r="AT77" i="30"/>
  <c r="AS77" i="30"/>
  <c r="AR77" i="30"/>
  <c r="AQ77" i="30"/>
  <c r="AP77" i="30"/>
  <c r="AO77" i="30"/>
  <c r="AN77" i="30"/>
  <c r="AM77" i="30"/>
  <c r="AL77" i="30"/>
  <c r="AK77" i="30"/>
  <c r="AJ77" i="30"/>
  <c r="AI77" i="30"/>
  <c r="C77" i="30"/>
  <c r="B77" i="30"/>
  <c r="A77" i="30"/>
  <c r="AU76" i="30"/>
  <c r="AT76" i="30"/>
  <c r="AS76" i="30"/>
  <c r="AR76" i="30"/>
  <c r="AQ76" i="30"/>
  <c r="AP76" i="30"/>
  <c r="AO76" i="30"/>
  <c r="AN76" i="30"/>
  <c r="AM76" i="30"/>
  <c r="AL76" i="30"/>
  <c r="AK76" i="30"/>
  <c r="AJ76" i="30"/>
  <c r="AI76" i="30"/>
  <c r="C76" i="30"/>
  <c r="B76" i="30"/>
  <c r="A76" i="30"/>
  <c r="C75" i="30"/>
  <c r="B75" i="30"/>
  <c r="A75" i="30"/>
  <c r="AG74" i="30"/>
  <c r="AE74" i="30"/>
  <c r="AC74" i="30"/>
  <c r="W74" i="30"/>
  <c r="U74" i="30"/>
  <c r="S74" i="30"/>
  <c r="Q74" i="30"/>
  <c r="O74" i="30"/>
  <c r="K74" i="30"/>
  <c r="I74" i="30"/>
  <c r="G74" i="30"/>
  <c r="E74" i="30"/>
  <c r="C74" i="30"/>
  <c r="B74" i="30"/>
  <c r="A74" i="30"/>
  <c r="AH73" i="30"/>
  <c r="AG73" i="30"/>
  <c r="AF73" i="30"/>
  <c r="AE73" i="30"/>
  <c r="AD73" i="30"/>
  <c r="AC73" i="30"/>
  <c r="AB73" i="30"/>
  <c r="AA73" i="30"/>
  <c r="Z73" i="30"/>
  <c r="Y73" i="30"/>
  <c r="X73" i="30"/>
  <c r="W73" i="30"/>
  <c r="V73" i="30"/>
  <c r="U73" i="30"/>
  <c r="T73" i="30"/>
  <c r="S73" i="30"/>
  <c r="R73" i="30"/>
  <c r="Q73" i="30"/>
  <c r="P73" i="30"/>
  <c r="O73" i="30"/>
  <c r="N73" i="30"/>
  <c r="M73" i="30"/>
  <c r="L73" i="30"/>
  <c r="K73" i="30"/>
  <c r="J73" i="30"/>
  <c r="I73" i="30"/>
  <c r="H73" i="30"/>
  <c r="G73" i="30"/>
  <c r="F73" i="30"/>
  <c r="E73" i="30"/>
  <c r="D73" i="30"/>
  <c r="C73" i="30"/>
  <c r="B73" i="30"/>
  <c r="A73" i="30"/>
  <c r="AU72" i="30"/>
  <c r="AT72" i="30"/>
  <c r="AS72" i="30"/>
  <c r="AR72" i="30"/>
  <c r="AQ72" i="30"/>
  <c r="AP72" i="30"/>
  <c r="AO72" i="30"/>
  <c r="AN72" i="30"/>
  <c r="AM72" i="30"/>
  <c r="AL72" i="30"/>
  <c r="AK72" i="30"/>
  <c r="AJ72" i="30"/>
  <c r="AI72" i="30"/>
  <c r="C72" i="30"/>
  <c r="B72" i="30"/>
  <c r="A72" i="30"/>
  <c r="AU71" i="30"/>
  <c r="AT71" i="30"/>
  <c r="AS71" i="30"/>
  <c r="AR71" i="30"/>
  <c r="AQ71" i="30"/>
  <c r="AP71" i="30"/>
  <c r="AO71" i="30"/>
  <c r="AN71" i="30"/>
  <c r="AM71" i="30"/>
  <c r="AL71" i="30"/>
  <c r="AK71" i="30"/>
  <c r="AJ71" i="30"/>
  <c r="AI71" i="30"/>
  <c r="C71" i="30"/>
  <c r="B71" i="30"/>
  <c r="A71" i="30"/>
  <c r="AU70" i="30"/>
  <c r="AT70" i="30"/>
  <c r="AS70" i="30"/>
  <c r="AR70" i="30"/>
  <c r="AQ70" i="30"/>
  <c r="AP70" i="30"/>
  <c r="AO70" i="30"/>
  <c r="AN70" i="30"/>
  <c r="AM70" i="30"/>
  <c r="AL70" i="30"/>
  <c r="AK70" i="30"/>
  <c r="AJ70" i="30"/>
  <c r="AI70" i="30"/>
  <c r="C70" i="30"/>
  <c r="B70" i="30"/>
  <c r="A70" i="30"/>
  <c r="AU69" i="30"/>
  <c r="AT69" i="30"/>
  <c r="AS69" i="30"/>
  <c r="AR69" i="30"/>
  <c r="AQ69" i="30"/>
  <c r="AP69" i="30"/>
  <c r="AO69" i="30"/>
  <c r="AN69" i="30"/>
  <c r="AM69" i="30"/>
  <c r="AL69" i="30"/>
  <c r="AK69" i="30"/>
  <c r="AJ69" i="30"/>
  <c r="AI69" i="30"/>
  <c r="C69" i="30"/>
  <c r="B69" i="30"/>
  <c r="A69" i="30"/>
  <c r="AU68" i="30"/>
  <c r="AT68" i="30"/>
  <c r="AS68" i="30"/>
  <c r="AR68" i="30"/>
  <c r="AQ68" i="30"/>
  <c r="AP68" i="30"/>
  <c r="AO68" i="30"/>
  <c r="AN68" i="30"/>
  <c r="AM68" i="30"/>
  <c r="AL68" i="30"/>
  <c r="AK68" i="30"/>
  <c r="AJ68" i="30"/>
  <c r="AI68" i="30"/>
  <c r="C68" i="30"/>
  <c r="B68" i="30"/>
  <c r="A68" i="30"/>
  <c r="AU67" i="30"/>
  <c r="AT67" i="30"/>
  <c r="AS67" i="30"/>
  <c r="AR67" i="30"/>
  <c r="AQ67" i="30"/>
  <c r="AP67" i="30"/>
  <c r="AO67" i="30"/>
  <c r="AN67" i="30"/>
  <c r="AM67" i="30"/>
  <c r="AL67" i="30"/>
  <c r="AK67" i="30"/>
  <c r="AJ67" i="30"/>
  <c r="AI67" i="30"/>
  <c r="C67" i="30"/>
  <c r="B67" i="30"/>
  <c r="A67" i="30"/>
  <c r="AU66" i="30"/>
  <c r="AT66" i="30"/>
  <c r="AS66" i="30"/>
  <c r="AR66" i="30"/>
  <c r="AQ66" i="30"/>
  <c r="AP66" i="30"/>
  <c r="AO66" i="30"/>
  <c r="AN66" i="30"/>
  <c r="AM66" i="30"/>
  <c r="AL66" i="30"/>
  <c r="AK66" i="30"/>
  <c r="AJ66" i="30"/>
  <c r="AI66" i="30"/>
  <c r="C66" i="30"/>
  <c r="B66" i="30"/>
  <c r="A66" i="30"/>
  <c r="AU65" i="30"/>
  <c r="AT65" i="30"/>
  <c r="AS65" i="30"/>
  <c r="AR65" i="30"/>
  <c r="AQ65" i="30"/>
  <c r="AP65" i="30"/>
  <c r="AO65" i="30"/>
  <c r="AN65" i="30"/>
  <c r="AM65" i="30"/>
  <c r="AL65" i="30"/>
  <c r="AK65" i="30"/>
  <c r="AJ65" i="30"/>
  <c r="AI65" i="30"/>
  <c r="C65" i="30"/>
  <c r="B65" i="30"/>
  <c r="A65" i="30"/>
  <c r="AU64" i="30"/>
  <c r="AT64" i="30"/>
  <c r="AS64" i="30"/>
  <c r="AR64" i="30"/>
  <c r="AQ64" i="30"/>
  <c r="AP64" i="30"/>
  <c r="AO64" i="30"/>
  <c r="AN64" i="30"/>
  <c r="AM64" i="30"/>
  <c r="AL64" i="30"/>
  <c r="AK64" i="30"/>
  <c r="AJ64" i="30"/>
  <c r="AI64" i="30"/>
  <c r="C64" i="30"/>
  <c r="B64" i="30"/>
  <c r="A64" i="30"/>
  <c r="AU63" i="30"/>
  <c r="AT63" i="30"/>
  <c r="AS63" i="30"/>
  <c r="AR63" i="30"/>
  <c r="AQ63" i="30"/>
  <c r="AP63" i="30"/>
  <c r="AO63" i="30"/>
  <c r="AN63" i="30"/>
  <c r="AM63" i="30"/>
  <c r="AL63" i="30"/>
  <c r="AK63" i="30"/>
  <c r="AJ63" i="30"/>
  <c r="AI63" i="30"/>
  <c r="C63" i="30"/>
  <c r="B63" i="30"/>
  <c r="A63" i="30"/>
  <c r="AU62" i="30"/>
  <c r="AT62" i="30"/>
  <c r="AS62" i="30"/>
  <c r="AR62" i="30"/>
  <c r="AQ62" i="30"/>
  <c r="AP62" i="30"/>
  <c r="AO62" i="30"/>
  <c r="AN62" i="30"/>
  <c r="AM62" i="30"/>
  <c r="AL62" i="30"/>
  <c r="AK62" i="30"/>
  <c r="AJ62" i="30"/>
  <c r="AI62" i="30"/>
  <c r="C62" i="30"/>
  <c r="B62" i="30"/>
  <c r="A62" i="30"/>
  <c r="C61" i="30"/>
  <c r="B61" i="30"/>
  <c r="A61" i="30"/>
  <c r="AH60" i="30"/>
  <c r="AH74" i="30" s="1"/>
  <c r="AG60" i="30"/>
  <c r="AF60" i="30"/>
  <c r="AF74" i="30" s="1"/>
  <c r="AE60" i="30"/>
  <c r="AD60" i="30"/>
  <c r="AD74" i="30" s="1"/>
  <c r="AC60" i="30"/>
  <c r="AB60" i="30"/>
  <c r="AB74" i="30" s="1"/>
  <c r="AA60" i="30"/>
  <c r="AA74" i="30" s="1"/>
  <c r="Z60" i="30"/>
  <c r="Z74" i="30" s="1"/>
  <c r="Y60" i="30"/>
  <c r="Y74" i="30" s="1"/>
  <c r="X60" i="30"/>
  <c r="X74" i="30" s="1"/>
  <c r="W60" i="30"/>
  <c r="V60" i="30"/>
  <c r="V74" i="30" s="1"/>
  <c r="U60" i="30"/>
  <c r="T60" i="30"/>
  <c r="T74" i="30" s="1"/>
  <c r="S60" i="30"/>
  <c r="R60" i="30"/>
  <c r="R74" i="30" s="1"/>
  <c r="Q60" i="30"/>
  <c r="P60" i="30"/>
  <c r="P74" i="30" s="1"/>
  <c r="O60" i="30"/>
  <c r="N60" i="30"/>
  <c r="N74" i="30" s="1"/>
  <c r="M60" i="30"/>
  <c r="M74" i="30" s="1"/>
  <c r="L60" i="30"/>
  <c r="L74" i="30" s="1"/>
  <c r="K60" i="30"/>
  <c r="J60" i="30"/>
  <c r="J74" i="30" s="1"/>
  <c r="I60" i="30"/>
  <c r="H60" i="30"/>
  <c r="H74" i="30" s="1"/>
  <c r="G60" i="30"/>
  <c r="F60" i="30"/>
  <c r="F74" i="30" s="1"/>
  <c r="E60" i="30"/>
  <c r="D60" i="30"/>
  <c r="D74" i="30" s="1"/>
  <c r="C60" i="30"/>
  <c r="B60" i="30"/>
  <c r="A60" i="30"/>
  <c r="AU59" i="30"/>
  <c r="AT59" i="30"/>
  <c r="AS59" i="30"/>
  <c r="AR59" i="30"/>
  <c r="AQ59" i="30"/>
  <c r="AP59" i="30"/>
  <c r="AO59" i="30"/>
  <c r="AN59" i="30"/>
  <c r="AM59" i="30"/>
  <c r="AL59" i="30"/>
  <c r="AK59" i="30"/>
  <c r="AJ59" i="30"/>
  <c r="AI59" i="30"/>
  <c r="C59" i="30"/>
  <c r="B59" i="30"/>
  <c r="A59" i="30"/>
  <c r="AU58" i="30"/>
  <c r="AT58" i="30"/>
  <c r="AS58" i="30"/>
  <c r="AR58" i="30"/>
  <c r="AQ58" i="30"/>
  <c r="AP58" i="30"/>
  <c r="AO58" i="30"/>
  <c r="AN58" i="30"/>
  <c r="AM58" i="30"/>
  <c r="AL58" i="30"/>
  <c r="AK58" i="30"/>
  <c r="AJ58" i="30"/>
  <c r="AI58" i="30"/>
  <c r="C58" i="30"/>
  <c r="B58" i="30"/>
  <c r="A58" i="30"/>
  <c r="AU57" i="30"/>
  <c r="AT57" i="30"/>
  <c r="AS57" i="30"/>
  <c r="AR57" i="30"/>
  <c r="AQ57" i="30"/>
  <c r="AP57" i="30"/>
  <c r="AO57" i="30"/>
  <c r="AN57" i="30"/>
  <c r="AM57" i="30"/>
  <c r="AL57" i="30"/>
  <c r="AK57" i="30"/>
  <c r="AJ57" i="30"/>
  <c r="AI57" i="30"/>
  <c r="C57" i="30"/>
  <c r="B57" i="30"/>
  <c r="A57" i="30"/>
  <c r="AU56" i="30"/>
  <c r="AT56" i="30"/>
  <c r="AS56" i="30"/>
  <c r="AR56" i="30"/>
  <c r="AQ56" i="30"/>
  <c r="AP56" i="30"/>
  <c r="AO56" i="30"/>
  <c r="AN56" i="30"/>
  <c r="AM56" i="30"/>
  <c r="AL56" i="30"/>
  <c r="AK56" i="30"/>
  <c r="AJ56" i="30"/>
  <c r="AI56" i="30"/>
  <c r="C56" i="30"/>
  <c r="B56" i="30"/>
  <c r="A56" i="30"/>
  <c r="AU55" i="30"/>
  <c r="AT55" i="30"/>
  <c r="AS55" i="30"/>
  <c r="AR55" i="30"/>
  <c r="AQ55" i="30"/>
  <c r="AP55" i="30"/>
  <c r="AO55" i="30"/>
  <c r="AN55" i="30"/>
  <c r="AM55" i="30"/>
  <c r="AL55" i="30"/>
  <c r="AK55" i="30"/>
  <c r="AJ55" i="30"/>
  <c r="AI55" i="30"/>
  <c r="C55" i="30"/>
  <c r="B55" i="30"/>
  <c r="A55" i="30"/>
  <c r="AU54" i="30"/>
  <c r="AT54" i="30"/>
  <c r="AS54" i="30"/>
  <c r="AR54" i="30"/>
  <c r="AQ54" i="30"/>
  <c r="AP54" i="30"/>
  <c r="AO54" i="30"/>
  <c r="AN54" i="30"/>
  <c r="AM54" i="30"/>
  <c r="AL54" i="30"/>
  <c r="AK54" i="30"/>
  <c r="AJ54" i="30"/>
  <c r="AI54" i="30"/>
  <c r="C54" i="30"/>
  <c r="B54" i="30"/>
  <c r="A54" i="30"/>
  <c r="AU53" i="30"/>
  <c r="AT53" i="30"/>
  <c r="AS53" i="30"/>
  <c r="AR53" i="30"/>
  <c r="AQ53" i="30"/>
  <c r="AP53" i="30"/>
  <c r="AO53" i="30"/>
  <c r="AN53" i="30"/>
  <c r="AM53" i="30"/>
  <c r="AL53" i="30"/>
  <c r="AK53" i="30"/>
  <c r="AJ53" i="30"/>
  <c r="AI53" i="30"/>
  <c r="C53" i="30"/>
  <c r="B53" i="30"/>
  <c r="A53" i="30"/>
  <c r="AU52" i="30"/>
  <c r="AT52" i="30"/>
  <c r="AS52" i="30"/>
  <c r="AR52" i="30"/>
  <c r="AQ52" i="30"/>
  <c r="AP52" i="30"/>
  <c r="AO52" i="30"/>
  <c r="AN52" i="30"/>
  <c r="AM52" i="30"/>
  <c r="AL52" i="30"/>
  <c r="AK52" i="30"/>
  <c r="AJ52" i="30"/>
  <c r="AI52" i="30"/>
  <c r="C52" i="30"/>
  <c r="B52" i="30"/>
  <c r="A52" i="30"/>
  <c r="AU51" i="30"/>
  <c r="AT51" i="30"/>
  <c r="AS51" i="30"/>
  <c r="AR51" i="30"/>
  <c r="AQ51" i="30"/>
  <c r="AP51" i="30"/>
  <c r="AO51" i="30"/>
  <c r="AN51" i="30"/>
  <c r="AM51" i="30"/>
  <c r="AL51" i="30"/>
  <c r="AK51" i="30"/>
  <c r="AJ51" i="30"/>
  <c r="AI51" i="30"/>
  <c r="C51" i="30"/>
  <c r="B51" i="30"/>
  <c r="A51" i="30"/>
  <c r="AU50" i="30"/>
  <c r="AT50" i="30"/>
  <c r="AS50" i="30"/>
  <c r="AR50" i="30"/>
  <c r="AQ50" i="30"/>
  <c r="AP50" i="30"/>
  <c r="AO50" i="30"/>
  <c r="AN50" i="30"/>
  <c r="AM50" i="30"/>
  <c r="AL50" i="30"/>
  <c r="AK50" i="30"/>
  <c r="AJ50" i="30"/>
  <c r="AI50" i="30"/>
  <c r="C50" i="30"/>
  <c r="B50" i="30"/>
  <c r="A50" i="30"/>
  <c r="C49" i="30"/>
  <c r="B49" i="30"/>
  <c r="A49" i="30"/>
  <c r="AU48" i="30"/>
  <c r="AT48" i="30"/>
  <c r="AS48" i="30"/>
  <c r="AR48" i="30"/>
  <c r="AQ48" i="30"/>
  <c r="AP48" i="30"/>
  <c r="AO48" i="30"/>
  <c r="AN48" i="30"/>
  <c r="AM48" i="30"/>
  <c r="AL48" i="30"/>
  <c r="AK48" i="30"/>
  <c r="AJ48" i="30"/>
  <c r="AI48" i="30"/>
  <c r="C48" i="30"/>
  <c r="B48" i="30"/>
  <c r="A48" i="30"/>
  <c r="AU47" i="30"/>
  <c r="AT47" i="30"/>
  <c r="AS47" i="30"/>
  <c r="AR47" i="30"/>
  <c r="AQ47" i="30"/>
  <c r="AP47" i="30"/>
  <c r="AO47" i="30"/>
  <c r="AN47" i="30"/>
  <c r="AM47" i="30"/>
  <c r="AL47" i="30"/>
  <c r="AK47" i="30"/>
  <c r="AJ47" i="30"/>
  <c r="AI47" i="30"/>
  <c r="C47" i="30"/>
  <c r="B47" i="30"/>
  <c r="A47" i="30"/>
  <c r="C46" i="30"/>
  <c r="B46" i="30"/>
  <c r="A46" i="30"/>
  <c r="AU45" i="30"/>
  <c r="AT45" i="30"/>
  <c r="AS45" i="30"/>
  <c r="AR45" i="30"/>
  <c r="AQ45" i="30"/>
  <c r="AP45" i="30"/>
  <c r="AO45" i="30"/>
  <c r="AN45" i="30"/>
  <c r="AM45" i="30"/>
  <c r="AL45" i="30"/>
  <c r="AK45" i="30"/>
  <c r="AJ45" i="30"/>
  <c r="AI45" i="30"/>
  <c r="C45" i="30"/>
  <c r="B45" i="30"/>
  <c r="A45" i="30"/>
  <c r="AU44" i="30"/>
  <c r="AT44" i="30"/>
  <c r="AS44" i="30"/>
  <c r="AR44" i="30"/>
  <c r="AQ44" i="30"/>
  <c r="AP44" i="30"/>
  <c r="AO44" i="30"/>
  <c r="AN44" i="30"/>
  <c r="AM44" i="30"/>
  <c r="AL44" i="30"/>
  <c r="AK44" i="30"/>
  <c r="AJ44" i="30"/>
  <c r="AI44" i="30"/>
  <c r="C44" i="30"/>
  <c r="B44" i="30"/>
  <c r="A44" i="30"/>
  <c r="C43" i="30"/>
  <c r="B43" i="30"/>
  <c r="A43" i="30"/>
  <c r="AU42" i="30"/>
  <c r="AT42" i="30"/>
  <c r="AS42" i="30"/>
  <c r="AR42" i="30"/>
  <c r="AQ42" i="30"/>
  <c r="AP42" i="30"/>
  <c r="AO42" i="30"/>
  <c r="AN42" i="30"/>
  <c r="AM42" i="30"/>
  <c r="AL42" i="30"/>
  <c r="AK42" i="30"/>
  <c r="AJ42" i="30"/>
  <c r="AI42" i="30"/>
  <c r="C42" i="30"/>
  <c r="B42" i="30"/>
  <c r="A42" i="30"/>
  <c r="C41" i="30"/>
  <c r="B41" i="30"/>
  <c r="A41" i="30"/>
  <c r="AU40" i="30"/>
  <c r="AT40" i="30"/>
  <c r="AS40" i="30"/>
  <c r="AR40" i="30"/>
  <c r="AQ40" i="30"/>
  <c r="AP40" i="30"/>
  <c r="AO40" i="30"/>
  <c r="AN40" i="30"/>
  <c r="AM40" i="30"/>
  <c r="AL40" i="30"/>
  <c r="AK40" i="30"/>
  <c r="AJ40" i="30"/>
  <c r="AI40" i="30"/>
  <c r="C40" i="30"/>
  <c r="B40" i="30"/>
  <c r="A40" i="30"/>
  <c r="C39" i="30"/>
  <c r="B39" i="30"/>
  <c r="A39" i="30"/>
  <c r="C38" i="30"/>
  <c r="B38" i="30"/>
  <c r="A38" i="30"/>
  <c r="AH37" i="30"/>
  <c r="AG37" i="30"/>
  <c r="AF37" i="30"/>
  <c r="AE37" i="30"/>
  <c r="AD37" i="30"/>
  <c r="AC37" i="30"/>
  <c r="AB37" i="30"/>
  <c r="AA37" i="30"/>
  <c r="Z37" i="30"/>
  <c r="Y37" i="30"/>
  <c r="X37" i="30"/>
  <c r="W37" i="30"/>
  <c r="V37" i="30"/>
  <c r="U37" i="30"/>
  <c r="T37" i="30"/>
  <c r="S37" i="30"/>
  <c r="R37" i="30"/>
  <c r="Q37" i="30"/>
  <c r="P37" i="30"/>
  <c r="O37" i="30"/>
  <c r="N37" i="30"/>
  <c r="M37" i="30"/>
  <c r="L37" i="30"/>
  <c r="K37" i="30"/>
  <c r="J37" i="30"/>
  <c r="I37" i="30"/>
  <c r="H37" i="30"/>
  <c r="G37" i="30"/>
  <c r="F37" i="30"/>
  <c r="E37" i="30"/>
  <c r="D37" i="30"/>
  <c r="C37" i="30"/>
  <c r="B37" i="30"/>
  <c r="A37" i="30"/>
  <c r="AU36" i="30"/>
  <c r="AT36" i="30"/>
  <c r="AS36" i="30"/>
  <c r="AR36" i="30"/>
  <c r="AQ36" i="30"/>
  <c r="AP36" i="30"/>
  <c r="AO36" i="30"/>
  <c r="AN36" i="30"/>
  <c r="AM36" i="30"/>
  <c r="AL36" i="30"/>
  <c r="AK36" i="30"/>
  <c r="AJ36" i="30"/>
  <c r="AI36" i="30"/>
  <c r="C36" i="30"/>
  <c r="B36" i="30"/>
  <c r="A36" i="30"/>
  <c r="C35" i="30"/>
  <c r="B35" i="30"/>
  <c r="A35" i="30"/>
  <c r="AU34" i="30"/>
  <c r="AT34" i="30"/>
  <c r="AS34" i="30"/>
  <c r="AR34" i="30"/>
  <c r="AQ34" i="30"/>
  <c r="AP34" i="30"/>
  <c r="AO34" i="30"/>
  <c r="AN34" i="30"/>
  <c r="AM34" i="30"/>
  <c r="AL34" i="30"/>
  <c r="AK34" i="30"/>
  <c r="AJ34" i="30"/>
  <c r="AI34" i="30"/>
  <c r="C34" i="30"/>
  <c r="B34" i="30"/>
  <c r="A34" i="30"/>
  <c r="AU33" i="30"/>
  <c r="AT33" i="30"/>
  <c r="AS33" i="30"/>
  <c r="AR33" i="30"/>
  <c r="AQ33" i="30"/>
  <c r="AP33" i="30"/>
  <c r="AO33" i="30"/>
  <c r="AN33" i="30"/>
  <c r="AM33" i="30"/>
  <c r="AL33" i="30"/>
  <c r="AK33" i="30"/>
  <c r="AJ33" i="30"/>
  <c r="AI33" i="30"/>
  <c r="C33" i="30"/>
  <c r="B33" i="30"/>
  <c r="A33" i="30"/>
  <c r="C32" i="30"/>
  <c r="B32" i="30"/>
  <c r="A32" i="30"/>
  <c r="AU31" i="30"/>
  <c r="AT31" i="30"/>
  <c r="AS31" i="30"/>
  <c r="AR31" i="30"/>
  <c r="AQ31" i="30"/>
  <c r="AP31" i="30"/>
  <c r="AO31" i="30"/>
  <c r="AN31" i="30"/>
  <c r="AM31" i="30"/>
  <c r="AL31" i="30"/>
  <c r="AK31" i="30"/>
  <c r="AJ31" i="30"/>
  <c r="AI31" i="30"/>
  <c r="C31" i="30"/>
  <c r="B31" i="30"/>
  <c r="A31" i="30"/>
  <c r="C30" i="30"/>
  <c r="B30" i="30"/>
  <c r="A30" i="30"/>
  <c r="AU29" i="30"/>
  <c r="AT29" i="30"/>
  <c r="AS29" i="30"/>
  <c r="AR29" i="30"/>
  <c r="AQ29" i="30"/>
  <c r="AP29" i="30"/>
  <c r="AO29" i="30"/>
  <c r="AN29" i="30"/>
  <c r="AM29" i="30"/>
  <c r="AL29" i="30"/>
  <c r="AK29" i="30"/>
  <c r="AJ29" i="30"/>
  <c r="AI29" i="30"/>
  <c r="C29" i="30"/>
  <c r="B29" i="30"/>
  <c r="A29" i="30"/>
  <c r="AU28" i="30"/>
  <c r="AT28" i="30"/>
  <c r="AS28" i="30"/>
  <c r="AR28" i="30"/>
  <c r="AQ28" i="30"/>
  <c r="AP28" i="30"/>
  <c r="AO28" i="30"/>
  <c r="AN28" i="30"/>
  <c r="AM28" i="30"/>
  <c r="AL28" i="30"/>
  <c r="AK28" i="30"/>
  <c r="AJ28" i="30"/>
  <c r="AI28" i="30"/>
  <c r="C28" i="30"/>
  <c r="B28" i="30"/>
  <c r="A28" i="30"/>
  <c r="AU27" i="30"/>
  <c r="AT27" i="30"/>
  <c r="AS27" i="30"/>
  <c r="AR27" i="30"/>
  <c r="AQ27" i="30"/>
  <c r="AP27" i="30"/>
  <c r="AO27" i="30"/>
  <c r="AN27" i="30"/>
  <c r="AM27" i="30"/>
  <c r="AL27" i="30"/>
  <c r="AK27" i="30"/>
  <c r="AJ27" i="30"/>
  <c r="AI27" i="30"/>
  <c r="C27" i="30"/>
  <c r="B27" i="30"/>
  <c r="A27" i="30"/>
  <c r="AU26" i="30"/>
  <c r="AT26" i="30"/>
  <c r="AS26" i="30"/>
  <c r="AR26" i="30"/>
  <c r="AQ26" i="30"/>
  <c r="AP26" i="30"/>
  <c r="AO26" i="30"/>
  <c r="AN26" i="30"/>
  <c r="AM26" i="30"/>
  <c r="AL26" i="30"/>
  <c r="AK26" i="30"/>
  <c r="AJ26" i="30"/>
  <c r="AI26" i="30"/>
  <c r="C26" i="30"/>
  <c r="B26" i="30"/>
  <c r="A26" i="30"/>
  <c r="C25" i="30"/>
  <c r="B25" i="30"/>
  <c r="A25" i="30"/>
  <c r="AU24" i="30"/>
  <c r="AT24" i="30"/>
  <c r="AS24" i="30"/>
  <c r="AR24" i="30"/>
  <c r="AQ24" i="30"/>
  <c r="AP24" i="30"/>
  <c r="AO24" i="30"/>
  <c r="AN24" i="30"/>
  <c r="AM24" i="30"/>
  <c r="AL24" i="30"/>
  <c r="AK24" i="30"/>
  <c r="AJ24" i="30"/>
  <c r="AI24" i="30"/>
  <c r="C24" i="30"/>
  <c r="B24" i="30"/>
  <c r="A24" i="30"/>
  <c r="AU23" i="30"/>
  <c r="AT23" i="30"/>
  <c r="AS23" i="30"/>
  <c r="AR23" i="30"/>
  <c r="AQ23" i="30"/>
  <c r="AP23" i="30"/>
  <c r="AO23" i="30"/>
  <c r="AN23" i="30"/>
  <c r="AM23" i="30"/>
  <c r="AL23" i="30"/>
  <c r="AK23" i="30"/>
  <c r="AJ23" i="30"/>
  <c r="AI23" i="30"/>
  <c r="C23" i="30"/>
  <c r="B23" i="30"/>
  <c r="A23" i="30"/>
  <c r="C22" i="30"/>
  <c r="B22" i="30"/>
  <c r="A22" i="30"/>
  <c r="AU21" i="30"/>
  <c r="AT21" i="30"/>
  <c r="AS21" i="30"/>
  <c r="AR21" i="30"/>
  <c r="AQ21" i="30"/>
  <c r="AP21" i="30"/>
  <c r="AO21" i="30"/>
  <c r="AN21" i="30"/>
  <c r="AM21" i="30"/>
  <c r="AL21" i="30"/>
  <c r="AK21" i="30"/>
  <c r="AJ21" i="30"/>
  <c r="AI21" i="30"/>
  <c r="C21" i="30"/>
  <c r="B21" i="30"/>
  <c r="A21" i="30"/>
  <c r="C20" i="30"/>
  <c r="B20" i="30"/>
  <c r="A20" i="30"/>
  <c r="AU19" i="30"/>
  <c r="AT19" i="30"/>
  <c r="AS19" i="30"/>
  <c r="AR19" i="30"/>
  <c r="AQ19" i="30"/>
  <c r="AP19" i="30"/>
  <c r="AO19" i="30"/>
  <c r="AN19" i="30"/>
  <c r="AM19" i="30"/>
  <c r="AL19" i="30"/>
  <c r="AK19" i="30"/>
  <c r="AJ19" i="30"/>
  <c r="AI19" i="30"/>
  <c r="C19" i="30"/>
  <c r="B19" i="30"/>
  <c r="A19" i="30"/>
  <c r="C18" i="30"/>
  <c r="B18" i="30"/>
  <c r="A18" i="30"/>
  <c r="AU17" i="30"/>
  <c r="AT17" i="30"/>
  <c r="AS17" i="30"/>
  <c r="AR17" i="30"/>
  <c r="AQ17" i="30"/>
  <c r="AP17" i="30"/>
  <c r="AO17" i="30"/>
  <c r="AN17" i="30"/>
  <c r="AM17" i="30"/>
  <c r="AL17" i="30"/>
  <c r="AK17" i="30"/>
  <c r="AJ17" i="30"/>
  <c r="AI17" i="30"/>
  <c r="C17" i="30"/>
  <c r="B17" i="30"/>
  <c r="A17" i="30"/>
  <c r="C16" i="30"/>
  <c r="B16" i="30"/>
  <c r="A16" i="30"/>
  <c r="C15" i="30"/>
  <c r="B15" i="30"/>
  <c r="A15" i="30"/>
  <c r="AU14" i="30"/>
  <c r="AT14" i="30"/>
  <c r="AS14" i="30"/>
  <c r="AR14" i="30"/>
  <c r="AQ14" i="30"/>
  <c r="AP14" i="30"/>
  <c r="AO14" i="30"/>
  <c r="AN14" i="30"/>
  <c r="AM14" i="30"/>
  <c r="AL14" i="30"/>
  <c r="AK14" i="30"/>
  <c r="AJ14" i="30"/>
  <c r="AI14" i="30"/>
  <c r="C14" i="30"/>
  <c r="B14" i="30"/>
  <c r="A14" i="30"/>
  <c r="C13" i="30"/>
  <c r="B13" i="30"/>
  <c r="A13" i="30"/>
  <c r="AU12" i="30"/>
  <c r="AT12" i="30"/>
  <c r="AS12" i="30"/>
  <c r="AR12" i="30"/>
  <c r="AQ12" i="30"/>
  <c r="AP12" i="30"/>
  <c r="AO12" i="30"/>
  <c r="AN12" i="30"/>
  <c r="AM12" i="30"/>
  <c r="AL12" i="30"/>
  <c r="AK12" i="30"/>
  <c r="AJ12" i="30"/>
  <c r="AI12" i="30"/>
  <c r="C12" i="30"/>
  <c r="B12" i="30"/>
  <c r="A12" i="30"/>
  <c r="C11" i="30"/>
  <c r="B11" i="30"/>
  <c r="A11" i="30"/>
  <c r="AH106" i="29"/>
  <c r="AG106" i="29"/>
  <c r="AF106" i="29"/>
  <c r="AE106" i="29"/>
  <c r="AD106" i="29"/>
  <c r="AC106" i="29"/>
  <c r="AB106" i="29"/>
  <c r="AA106" i="29"/>
  <c r="Z106" i="29"/>
  <c r="Y106" i="29"/>
  <c r="X106" i="29"/>
  <c r="W106" i="29"/>
  <c r="O106" i="29"/>
  <c r="N106" i="29"/>
  <c r="M106" i="29"/>
  <c r="L106" i="29"/>
  <c r="K106" i="29"/>
  <c r="J106" i="29"/>
  <c r="I106" i="29"/>
  <c r="H106" i="29"/>
  <c r="G106" i="29"/>
  <c r="F106" i="29"/>
  <c r="E106" i="29"/>
  <c r="D106" i="29"/>
  <c r="AH84" i="29"/>
  <c r="AG84" i="29"/>
  <c r="AF84" i="29"/>
  <c r="AE84" i="29"/>
  <c r="AD84" i="29"/>
  <c r="AC84" i="29"/>
  <c r="AB84" i="29"/>
  <c r="AA84" i="29"/>
  <c r="Z84" i="29"/>
  <c r="Y84" i="29"/>
  <c r="X84" i="29"/>
  <c r="W84" i="29"/>
  <c r="P84" i="29"/>
  <c r="O84" i="29"/>
  <c r="N84" i="29"/>
  <c r="M84" i="29"/>
  <c r="L84" i="29"/>
  <c r="K84" i="29"/>
  <c r="J84" i="29"/>
  <c r="I84" i="29"/>
  <c r="H84" i="29"/>
  <c r="G84" i="29"/>
  <c r="F84" i="29"/>
  <c r="E84" i="29"/>
  <c r="D84" i="29"/>
  <c r="AU80" i="29"/>
  <c r="AT80" i="29"/>
  <c r="AS80" i="29"/>
  <c r="AR80" i="29"/>
  <c r="AQ80" i="29"/>
  <c r="AP80" i="29"/>
  <c r="AO80" i="29"/>
  <c r="AN80" i="29"/>
  <c r="AM80" i="29"/>
  <c r="AL80" i="29"/>
  <c r="AK80" i="29"/>
  <c r="AJ80" i="29"/>
  <c r="AI80" i="29"/>
  <c r="C80" i="29"/>
  <c r="B80" i="29"/>
  <c r="A80" i="29"/>
  <c r="AU79" i="29"/>
  <c r="AT79" i="29"/>
  <c r="AS79" i="29"/>
  <c r="AR79" i="29"/>
  <c r="AQ79" i="29"/>
  <c r="AP79" i="29"/>
  <c r="AO79" i="29"/>
  <c r="AN79" i="29"/>
  <c r="AM79" i="29"/>
  <c r="AL79" i="29"/>
  <c r="AK79" i="29"/>
  <c r="AJ79" i="29"/>
  <c r="AI79" i="29"/>
  <c r="C79" i="29"/>
  <c r="B79" i="29"/>
  <c r="A79" i="29"/>
  <c r="C78" i="29"/>
  <c r="B78" i="29"/>
  <c r="A78" i="29"/>
  <c r="AU77" i="29"/>
  <c r="AT77" i="29"/>
  <c r="AS77" i="29"/>
  <c r="AR77" i="29"/>
  <c r="AQ77" i="29"/>
  <c r="AP77" i="29"/>
  <c r="AO77" i="29"/>
  <c r="AN77" i="29"/>
  <c r="AM77" i="29"/>
  <c r="AL77" i="29"/>
  <c r="AK77" i="29"/>
  <c r="AJ77" i="29"/>
  <c r="AI77" i="29"/>
  <c r="C77" i="29"/>
  <c r="B77" i="29"/>
  <c r="A77" i="29"/>
  <c r="AU76" i="29"/>
  <c r="AT76" i="29"/>
  <c r="AS76" i="29"/>
  <c r="AR76" i="29"/>
  <c r="AQ76" i="29"/>
  <c r="AP76" i="29"/>
  <c r="AO76" i="29"/>
  <c r="AN76" i="29"/>
  <c r="AM76" i="29"/>
  <c r="AL76" i="29"/>
  <c r="AK76" i="29"/>
  <c r="AJ76" i="29"/>
  <c r="AI76" i="29"/>
  <c r="C76" i="29"/>
  <c r="B76" i="29"/>
  <c r="A76" i="29"/>
  <c r="C75" i="29"/>
  <c r="B75" i="29"/>
  <c r="A75" i="29"/>
  <c r="AF74" i="29"/>
  <c r="AD74" i="29"/>
  <c r="AC74" i="29"/>
  <c r="AB74" i="29"/>
  <c r="Z74" i="29"/>
  <c r="X74" i="29"/>
  <c r="T74" i="29"/>
  <c r="R74" i="29"/>
  <c r="Q74" i="29"/>
  <c r="P74" i="29"/>
  <c r="N74" i="29"/>
  <c r="L74" i="29"/>
  <c r="H74" i="29"/>
  <c r="F74" i="29"/>
  <c r="E74" i="29"/>
  <c r="D74" i="29"/>
  <c r="C74" i="29"/>
  <c r="B74" i="29"/>
  <c r="A74" i="29"/>
  <c r="AH73" i="29"/>
  <c r="AG73" i="29"/>
  <c r="AF73" i="29"/>
  <c r="AE73" i="29"/>
  <c r="AD73" i="29"/>
  <c r="AC73" i="29"/>
  <c r="AB73" i="29"/>
  <c r="AA73" i="29"/>
  <c r="Z73" i="29"/>
  <c r="Y73" i="29"/>
  <c r="X73" i="29"/>
  <c r="W73" i="29"/>
  <c r="V73" i="29"/>
  <c r="U73" i="29"/>
  <c r="T73" i="29"/>
  <c r="S73" i="29"/>
  <c r="R73" i="29"/>
  <c r="Q73" i="29"/>
  <c r="P73" i="29"/>
  <c r="O73" i="29"/>
  <c r="N73" i="29"/>
  <c r="M73" i="29"/>
  <c r="L73" i="29"/>
  <c r="K73" i="29"/>
  <c r="J73" i="29"/>
  <c r="I73" i="29"/>
  <c r="H73" i="29"/>
  <c r="G73" i="29"/>
  <c r="F73" i="29"/>
  <c r="E73" i="29"/>
  <c r="D73" i="29"/>
  <c r="C73" i="29"/>
  <c r="B73" i="29"/>
  <c r="A73" i="29"/>
  <c r="AU72" i="29"/>
  <c r="AT72" i="29"/>
  <c r="AS72" i="29"/>
  <c r="AR72" i="29"/>
  <c r="AQ72" i="29"/>
  <c r="AP72" i="29"/>
  <c r="AO72" i="29"/>
  <c r="AN72" i="29"/>
  <c r="AM72" i="29"/>
  <c r="AL72" i="29"/>
  <c r="AK72" i="29"/>
  <c r="AJ72" i="29"/>
  <c r="AI72" i="29"/>
  <c r="C72" i="29"/>
  <c r="B72" i="29"/>
  <c r="A72" i="29"/>
  <c r="AU71" i="29"/>
  <c r="AT71" i="29"/>
  <c r="AS71" i="29"/>
  <c r="AR71" i="29"/>
  <c r="AQ71" i="29"/>
  <c r="AP71" i="29"/>
  <c r="AO71" i="29"/>
  <c r="AN71" i="29"/>
  <c r="AM71" i="29"/>
  <c r="AL71" i="29"/>
  <c r="AK71" i="29"/>
  <c r="AJ71" i="29"/>
  <c r="AI71" i="29"/>
  <c r="C71" i="29"/>
  <c r="B71" i="29"/>
  <c r="A71" i="29"/>
  <c r="AU70" i="29"/>
  <c r="AT70" i="29"/>
  <c r="AS70" i="29"/>
  <c r="AR70" i="29"/>
  <c r="AQ70" i="29"/>
  <c r="AP70" i="29"/>
  <c r="AO70" i="29"/>
  <c r="AN70" i="29"/>
  <c r="AM70" i="29"/>
  <c r="AL70" i="29"/>
  <c r="AK70" i="29"/>
  <c r="AJ70" i="29"/>
  <c r="AI70" i="29"/>
  <c r="C70" i="29"/>
  <c r="B70" i="29"/>
  <c r="A70" i="29"/>
  <c r="AU69" i="29"/>
  <c r="AT69" i="29"/>
  <c r="AS69" i="29"/>
  <c r="AR69" i="29"/>
  <c r="AQ69" i="29"/>
  <c r="AP69" i="29"/>
  <c r="AO69" i="29"/>
  <c r="AN69" i="29"/>
  <c r="AM69" i="29"/>
  <c r="AL69" i="29"/>
  <c r="AK69" i="29"/>
  <c r="AJ69" i="29"/>
  <c r="AI69" i="29"/>
  <c r="C69" i="29"/>
  <c r="B69" i="29"/>
  <c r="A69" i="29"/>
  <c r="AU68" i="29"/>
  <c r="AT68" i="29"/>
  <c r="AS68" i="29"/>
  <c r="AR68" i="29"/>
  <c r="AQ68" i="29"/>
  <c r="AP68" i="29"/>
  <c r="AO68" i="29"/>
  <c r="AN68" i="29"/>
  <c r="AM68" i="29"/>
  <c r="AL68" i="29"/>
  <c r="AK68" i="29"/>
  <c r="AJ68" i="29"/>
  <c r="AI68" i="29"/>
  <c r="C68" i="29"/>
  <c r="B68" i="29"/>
  <c r="A68" i="29"/>
  <c r="AU67" i="29"/>
  <c r="AT67" i="29"/>
  <c r="AS67" i="29"/>
  <c r="AR67" i="29"/>
  <c r="AQ67" i="29"/>
  <c r="AP67" i="29"/>
  <c r="AO67" i="29"/>
  <c r="AN67" i="29"/>
  <c r="AM67" i="29"/>
  <c r="AL67" i="29"/>
  <c r="AK67" i="29"/>
  <c r="AJ67" i="29"/>
  <c r="AI67" i="29"/>
  <c r="C67" i="29"/>
  <c r="B67" i="29"/>
  <c r="A67" i="29"/>
  <c r="AU66" i="29"/>
  <c r="AT66" i="29"/>
  <c r="AS66" i="29"/>
  <c r="AR66" i="29"/>
  <c r="AQ66" i="29"/>
  <c r="AP66" i="29"/>
  <c r="AO66" i="29"/>
  <c r="AN66" i="29"/>
  <c r="AM66" i="29"/>
  <c r="AL66" i="29"/>
  <c r="AK66" i="29"/>
  <c r="AJ66" i="29"/>
  <c r="AI66" i="29"/>
  <c r="C66" i="29"/>
  <c r="B66" i="29"/>
  <c r="A66" i="29"/>
  <c r="AU65" i="29"/>
  <c r="AT65" i="29"/>
  <c r="AS65" i="29"/>
  <c r="AR65" i="29"/>
  <c r="AQ65" i="29"/>
  <c r="AP65" i="29"/>
  <c r="AO65" i="29"/>
  <c r="AN65" i="29"/>
  <c r="AM65" i="29"/>
  <c r="AL65" i="29"/>
  <c r="AK65" i="29"/>
  <c r="AJ65" i="29"/>
  <c r="AI65" i="29"/>
  <c r="C65" i="29"/>
  <c r="B65" i="29"/>
  <c r="A65" i="29"/>
  <c r="AU64" i="29"/>
  <c r="AT64" i="29"/>
  <c r="AS64" i="29"/>
  <c r="AR64" i="29"/>
  <c r="AQ64" i="29"/>
  <c r="AP64" i="29"/>
  <c r="AO64" i="29"/>
  <c r="AN64" i="29"/>
  <c r="AM64" i="29"/>
  <c r="AL64" i="29"/>
  <c r="AK64" i="29"/>
  <c r="AJ64" i="29"/>
  <c r="AI64" i="29"/>
  <c r="C64" i="29"/>
  <c r="B64" i="29"/>
  <c r="A64" i="29"/>
  <c r="AU63" i="29"/>
  <c r="AT63" i="29"/>
  <c r="AS63" i="29"/>
  <c r="AR63" i="29"/>
  <c r="AQ63" i="29"/>
  <c r="AP63" i="29"/>
  <c r="AO63" i="29"/>
  <c r="AN63" i="29"/>
  <c r="AM63" i="29"/>
  <c r="AL63" i="29"/>
  <c r="AK63" i="29"/>
  <c r="AJ63" i="29"/>
  <c r="AI63" i="29"/>
  <c r="C63" i="29"/>
  <c r="B63" i="29"/>
  <c r="A63" i="29"/>
  <c r="AU62" i="29"/>
  <c r="AT62" i="29"/>
  <c r="AS62" i="29"/>
  <c r="AR62" i="29"/>
  <c r="AQ62" i="29"/>
  <c r="AP62" i="29"/>
  <c r="AO62" i="29"/>
  <c r="AN62" i="29"/>
  <c r="AM62" i="29"/>
  <c r="AL62" i="29"/>
  <c r="AK62" i="29"/>
  <c r="AJ62" i="29"/>
  <c r="AI62" i="29"/>
  <c r="C62" i="29"/>
  <c r="B62" i="29"/>
  <c r="A62" i="29"/>
  <c r="C61" i="29"/>
  <c r="B61" i="29"/>
  <c r="A61" i="29"/>
  <c r="AH60" i="29"/>
  <c r="AH74" i="29" s="1"/>
  <c r="AG60" i="29"/>
  <c r="AG74" i="29" s="1"/>
  <c r="AF60" i="29"/>
  <c r="AE60" i="29"/>
  <c r="AE74" i="29" s="1"/>
  <c r="AD60" i="29"/>
  <c r="AC60" i="29"/>
  <c r="AB60" i="29"/>
  <c r="AA60" i="29"/>
  <c r="AA74" i="29" s="1"/>
  <c r="Z60" i="29"/>
  <c r="Y60" i="29"/>
  <c r="Y74" i="29" s="1"/>
  <c r="X60" i="29"/>
  <c r="W60" i="29"/>
  <c r="W74" i="29" s="1"/>
  <c r="V60" i="29"/>
  <c r="V74" i="29" s="1"/>
  <c r="U60" i="29"/>
  <c r="U74" i="29" s="1"/>
  <c r="T60" i="29"/>
  <c r="S60" i="29"/>
  <c r="S74" i="29" s="1"/>
  <c r="R60" i="29"/>
  <c r="Q60" i="29"/>
  <c r="P60" i="29"/>
  <c r="O60" i="29"/>
  <c r="O74" i="29" s="1"/>
  <c r="N60" i="29"/>
  <c r="M60" i="29"/>
  <c r="M74" i="29" s="1"/>
  <c r="L60" i="29"/>
  <c r="K60" i="29"/>
  <c r="K74" i="29" s="1"/>
  <c r="J60" i="29"/>
  <c r="J74" i="29" s="1"/>
  <c r="I60" i="29"/>
  <c r="I74" i="29" s="1"/>
  <c r="H60" i="29"/>
  <c r="G60" i="29"/>
  <c r="G74" i="29" s="1"/>
  <c r="F60" i="29"/>
  <c r="E60" i="29"/>
  <c r="D60" i="29"/>
  <c r="C60" i="29"/>
  <c r="B60" i="29"/>
  <c r="A60" i="29"/>
  <c r="AU59" i="29"/>
  <c r="AT59" i="29"/>
  <c r="AS59" i="29"/>
  <c r="AR59" i="29"/>
  <c r="AQ59" i="29"/>
  <c r="AP59" i="29"/>
  <c r="AO59" i="29"/>
  <c r="AN59" i="29"/>
  <c r="AM59" i="29"/>
  <c r="AL59" i="29"/>
  <c r="AK59" i="29"/>
  <c r="AJ59" i="29"/>
  <c r="AI59" i="29"/>
  <c r="C59" i="29"/>
  <c r="B59" i="29"/>
  <c r="A59" i="29"/>
  <c r="AU58" i="29"/>
  <c r="AT58" i="29"/>
  <c r="AS58" i="29"/>
  <c r="AR58" i="29"/>
  <c r="AQ58" i="29"/>
  <c r="AP58" i="29"/>
  <c r="AO58" i="29"/>
  <c r="AN58" i="29"/>
  <c r="AM58" i="29"/>
  <c r="AL58" i="29"/>
  <c r="AK58" i="29"/>
  <c r="AJ58" i="29"/>
  <c r="AI58" i="29"/>
  <c r="C58" i="29"/>
  <c r="B58" i="29"/>
  <c r="A58" i="29"/>
  <c r="AU57" i="29"/>
  <c r="AT57" i="29"/>
  <c r="AS57" i="29"/>
  <c r="AR57" i="29"/>
  <c r="AQ57" i="29"/>
  <c r="AP57" i="29"/>
  <c r="AO57" i="29"/>
  <c r="AN57" i="29"/>
  <c r="AM57" i="29"/>
  <c r="AL57" i="29"/>
  <c r="AK57" i="29"/>
  <c r="AJ57" i="29"/>
  <c r="AI57" i="29"/>
  <c r="C57" i="29"/>
  <c r="B57" i="29"/>
  <c r="A57" i="29"/>
  <c r="AU56" i="29"/>
  <c r="AT56" i="29"/>
  <c r="AS56" i="29"/>
  <c r="AR56" i="29"/>
  <c r="AQ56" i="29"/>
  <c r="AP56" i="29"/>
  <c r="AO56" i="29"/>
  <c r="AN56" i="29"/>
  <c r="AM56" i="29"/>
  <c r="AL56" i="29"/>
  <c r="AK56" i="29"/>
  <c r="AJ56" i="29"/>
  <c r="AI56" i="29"/>
  <c r="C56" i="29"/>
  <c r="B56" i="29"/>
  <c r="A56" i="29"/>
  <c r="AU55" i="29"/>
  <c r="AT55" i="29"/>
  <c r="AS55" i="29"/>
  <c r="AR55" i="29"/>
  <c r="AQ55" i="29"/>
  <c r="AP55" i="29"/>
  <c r="AO55" i="29"/>
  <c r="AN55" i="29"/>
  <c r="AM55" i="29"/>
  <c r="AL55" i="29"/>
  <c r="AK55" i="29"/>
  <c r="AJ55" i="29"/>
  <c r="AI55" i="29"/>
  <c r="C55" i="29"/>
  <c r="B55" i="29"/>
  <c r="A55" i="29"/>
  <c r="AU54" i="29"/>
  <c r="AT54" i="29"/>
  <c r="AS54" i="29"/>
  <c r="AR54" i="29"/>
  <c r="AQ54" i="29"/>
  <c r="AP54" i="29"/>
  <c r="AO54" i="29"/>
  <c r="AN54" i="29"/>
  <c r="AM54" i="29"/>
  <c r="AL54" i="29"/>
  <c r="AK54" i="29"/>
  <c r="AJ54" i="29"/>
  <c r="AI54" i="29"/>
  <c r="C54" i="29"/>
  <c r="B54" i="29"/>
  <c r="A54" i="29"/>
  <c r="AU53" i="29"/>
  <c r="AT53" i="29"/>
  <c r="AS53" i="29"/>
  <c r="AR53" i="29"/>
  <c r="AQ53" i="29"/>
  <c r="AP53" i="29"/>
  <c r="AO53" i="29"/>
  <c r="AN53" i="29"/>
  <c r="AM53" i="29"/>
  <c r="AL53" i="29"/>
  <c r="AK53" i="29"/>
  <c r="AJ53" i="29"/>
  <c r="AI53" i="29"/>
  <c r="C53" i="29"/>
  <c r="B53" i="29"/>
  <c r="A53" i="29"/>
  <c r="AU52" i="29"/>
  <c r="AT52" i="29"/>
  <c r="AS52" i="29"/>
  <c r="AR52" i="29"/>
  <c r="AQ52" i="29"/>
  <c r="AP52" i="29"/>
  <c r="AO52" i="29"/>
  <c r="AN52" i="29"/>
  <c r="AM52" i="29"/>
  <c r="AL52" i="29"/>
  <c r="AK52" i="29"/>
  <c r="AJ52" i="29"/>
  <c r="AI52" i="29"/>
  <c r="C52" i="29"/>
  <c r="B52" i="29"/>
  <c r="A52" i="29"/>
  <c r="AU51" i="29"/>
  <c r="AT51" i="29"/>
  <c r="AS51" i="29"/>
  <c r="AR51" i="29"/>
  <c r="AQ51" i="29"/>
  <c r="AP51" i="29"/>
  <c r="AO51" i="29"/>
  <c r="AN51" i="29"/>
  <c r="AM51" i="29"/>
  <c r="AL51" i="29"/>
  <c r="AK51" i="29"/>
  <c r="AJ51" i="29"/>
  <c r="AI51" i="29"/>
  <c r="C51" i="29"/>
  <c r="B51" i="29"/>
  <c r="A51" i="29"/>
  <c r="AU50" i="29"/>
  <c r="AT50" i="29"/>
  <c r="AS50" i="29"/>
  <c r="AR50" i="29"/>
  <c r="AQ50" i="29"/>
  <c r="AP50" i="29"/>
  <c r="AO50" i="29"/>
  <c r="AN50" i="29"/>
  <c r="AM50" i="29"/>
  <c r="AL50" i="29"/>
  <c r="AK50" i="29"/>
  <c r="AJ50" i="29"/>
  <c r="AI50" i="29"/>
  <c r="C50" i="29"/>
  <c r="B50" i="29"/>
  <c r="A50" i="29"/>
  <c r="C49" i="29"/>
  <c r="B49" i="29"/>
  <c r="A49" i="29"/>
  <c r="AU48" i="29"/>
  <c r="AT48" i="29"/>
  <c r="AS48" i="29"/>
  <c r="AR48" i="29"/>
  <c r="AQ48" i="29"/>
  <c r="AP48" i="29"/>
  <c r="AO48" i="29"/>
  <c r="AN48" i="29"/>
  <c r="AM48" i="29"/>
  <c r="AL48" i="29"/>
  <c r="AK48" i="29"/>
  <c r="AJ48" i="29"/>
  <c r="AI48" i="29"/>
  <c r="C48" i="29"/>
  <c r="B48" i="29"/>
  <c r="A48" i="29"/>
  <c r="AU47" i="29"/>
  <c r="AT47" i="29"/>
  <c r="AS47" i="29"/>
  <c r="AR47" i="29"/>
  <c r="AQ47" i="29"/>
  <c r="AP47" i="29"/>
  <c r="AO47" i="29"/>
  <c r="AN47" i="29"/>
  <c r="AM47" i="29"/>
  <c r="AL47" i="29"/>
  <c r="AK47" i="29"/>
  <c r="AJ47" i="29"/>
  <c r="AI47" i="29"/>
  <c r="C47" i="29"/>
  <c r="B47" i="29"/>
  <c r="A47" i="29"/>
  <c r="C46" i="29"/>
  <c r="B46" i="29"/>
  <c r="A46" i="29"/>
  <c r="AU45" i="29"/>
  <c r="AT45" i="29"/>
  <c r="AS45" i="29"/>
  <c r="AR45" i="29"/>
  <c r="AQ45" i="29"/>
  <c r="AP45" i="29"/>
  <c r="AO45" i="29"/>
  <c r="AN45" i="29"/>
  <c r="AM45" i="29"/>
  <c r="AL45" i="29"/>
  <c r="AK45" i="29"/>
  <c r="AJ45" i="29"/>
  <c r="AI45" i="29"/>
  <c r="C45" i="29"/>
  <c r="B45" i="29"/>
  <c r="A45" i="29"/>
  <c r="AU44" i="29"/>
  <c r="AT44" i="29"/>
  <c r="AS44" i="29"/>
  <c r="AR44" i="29"/>
  <c r="AQ44" i="29"/>
  <c r="AP44" i="29"/>
  <c r="AO44" i="29"/>
  <c r="AN44" i="29"/>
  <c r="AM44" i="29"/>
  <c r="AL44" i="29"/>
  <c r="AK44" i="29"/>
  <c r="AJ44" i="29"/>
  <c r="AI44" i="29"/>
  <c r="C44" i="29"/>
  <c r="B44" i="29"/>
  <c r="A44" i="29"/>
  <c r="C43" i="29"/>
  <c r="B43" i="29"/>
  <c r="A43" i="29"/>
  <c r="AU42" i="29"/>
  <c r="AT42" i="29"/>
  <c r="AS42" i="29"/>
  <c r="AR42" i="29"/>
  <c r="AQ42" i="29"/>
  <c r="AP42" i="29"/>
  <c r="AO42" i="29"/>
  <c r="AN42" i="29"/>
  <c r="AM42" i="29"/>
  <c r="AL42" i="29"/>
  <c r="AK42" i="29"/>
  <c r="AJ42" i="29"/>
  <c r="AI42" i="29"/>
  <c r="C42" i="29"/>
  <c r="B42" i="29"/>
  <c r="A42" i="29"/>
  <c r="C41" i="29"/>
  <c r="B41" i="29"/>
  <c r="A41" i="29"/>
  <c r="AU40" i="29"/>
  <c r="AT40" i="29"/>
  <c r="AS40" i="29"/>
  <c r="AR40" i="29"/>
  <c r="AQ40" i="29"/>
  <c r="AP40" i="29"/>
  <c r="AO40" i="29"/>
  <c r="AN40" i="29"/>
  <c r="AM40" i="29"/>
  <c r="AL40" i="29"/>
  <c r="AK40" i="29"/>
  <c r="AJ40" i="29"/>
  <c r="AI40" i="29"/>
  <c r="C40" i="29"/>
  <c r="B40" i="29"/>
  <c r="A40" i="29"/>
  <c r="C39" i="29"/>
  <c r="B39" i="29"/>
  <c r="A39" i="29"/>
  <c r="C38" i="29"/>
  <c r="B38" i="29"/>
  <c r="A38" i="29"/>
  <c r="AH37" i="29"/>
  <c r="AG37" i="29"/>
  <c r="AF37" i="29"/>
  <c r="AE37" i="29"/>
  <c r="AD37" i="29"/>
  <c r="AC37" i="29"/>
  <c r="AB37" i="29"/>
  <c r="AA37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I37" i="29"/>
  <c r="H37" i="29"/>
  <c r="G37" i="29"/>
  <c r="F37" i="29"/>
  <c r="E37" i="29"/>
  <c r="D37" i="29"/>
  <c r="C37" i="29"/>
  <c r="B37" i="29"/>
  <c r="A37" i="29"/>
  <c r="AU36" i="29"/>
  <c r="AT36" i="29"/>
  <c r="AS36" i="29"/>
  <c r="AR36" i="29"/>
  <c r="AQ36" i="29"/>
  <c r="AP36" i="29"/>
  <c r="AO36" i="29"/>
  <c r="AN36" i="29"/>
  <c r="AM36" i="29"/>
  <c r="AL36" i="29"/>
  <c r="AK36" i="29"/>
  <c r="AJ36" i="29"/>
  <c r="AI36" i="29"/>
  <c r="C36" i="29"/>
  <c r="B36" i="29"/>
  <c r="A36" i="29"/>
  <c r="C35" i="29"/>
  <c r="B35" i="29"/>
  <c r="A35" i="29"/>
  <c r="AU34" i="29"/>
  <c r="AT34" i="29"/>
  <c r="AS34" i="29"/>
  <c r="AR34" i="29"/>
  <c r="AQ34" i="29"/>
  <c r="AP34" i="29"/>
  <c r="AO34" i="29"/>
  <c r="AN34" i="29"/>
  <c r="AM34" i="29"/>
  <c r="AL34" i="29"/>
  <c r="AK34" i="29"/>
  <c r="AJ34" i="29"/>
  <c r="AI34" i="29"/>
  <c r="C34" i="29"/>
  <c r="B34" i="29"/>
  <c r="A34" i="29"/>
  <c r="AU33" i="29"/>
  <c r="AT33" i="29"/>
  <c r="AS33" i="29"/>
  <c r="AR33" i="29"/>
  <c r="AQ33" i="29"/>
  <c r="AP33" i="29"/>
  <c r="AO33" i="29"/>
  <c r="AN33" i="29"/>
  <c r="AM33" i="29"/>
  <c r="AL33" i="29"/>
  <c r="AK33" i="29"/>
  <c r="AJ33" i="29"/>
  <c r="AI33" i="29"/>
  <c r="C33" i="29"/>
  <c r="B33" i="29"/>
  <c r="A33" i="29"/>
  <c r="C32" i="29"/>
  <c r="B32" i="29"/>
  <c r="A32" i="29"/>
  <c r="AU31" i="29"/>
  <c r="AT31" i="29"/>
  <c r="AS31" i="29"/>
  <c r="AR31" i="29"/>
  <c r="AQ31" i="29"/>
  <c r="AP31" i="29"/>
  <c r="AO31" i="29"/>
  <c r="AN31" i="29"/>
  <c r="AM31" i="29"/>
  <c r="AL31" i="29"/>
  <c r="AK31" i="29"/>
  <c r="AJ31" i="29"/>
  <c r="AI31" i="29"/>
  <c r="C31" i="29"/>
  <c r="B31" i="29"/>
  <c r="A31" i="29"/>
  <c r="C30" i="29"/>
  <c r="B30" i="29"/>
  <c r="A30" i="29"/>
  <c r="AU29" i="29"/>
  <c r="AT29" i="29"/>
  <c r="AS29" i="29"/>
  <c r="AR29" i="29"/>
  <c r="AQ29" i="29"/>
  <c r="AP29" i="29"/>
  <c r="AO29" i="29"/>
  <c r="AN29" i="29"/>
  <c r="AM29" i="29"/>
  <c r="AL29" i="29"/>
  <c r="AK29" i="29"/>
  <c r="AJ29" i="29"/>
  <c r="AI29" i="29"/>
  <c r="C29" i="29"/>
  <c r="B29" i="29"/>
  <c r="A29" i="29"/>
  <c r="AU28" i="29"/>
  <c r="AT28" i="29"/>
  <c r="AS28" i="29"/>
  <c r="AR28" i="29"/>
  <c r="AQ28" i="29"/>
  <c r="AP28" i="29"/>
  <c r="AO28" i="29"/>
  <c r="AN28" i="29"/>
  <c r="AM28" i="29"/>
  <c r="AL28" i="29"/>
  <c r="AK28" i="29"/>
  <c r="AJ28" i="29"/>
  <c r="AI28" i="29"/>
  <c r="C28" i="29"/>
  <c r="B28" i="29"/>
  <c r="A28" i="29"/>
  <c r="AU27" i="29"/>
  <c r="AT27" i="29"/>
  <c r="AS27" i="29"/>
  <c r="AR27" i="29"/>
  <c r="AQ27" i="29"/>
  <c r="AP27" i="29"/>
  <c r="AO27" i="29"/>
  <c r="AN27" i="29"/>
  <c r="AM27" i="29"/>
  <c r="AL27" i="29"/>
  <c r="AK27" i="29"/>
  <c r="AJ27" i="29"/>
  <c r="AI27" i="29"/>
  <c r="C27" i="29"/>
  <c r="B27" i="29"/>
  <c r="A27" i="29"/>
  <c r="AU26" i="29"/>
  <c r="AT26" i="29"/>
  <c r="AS26" i="29"/>
  <c r="AR26" i="29"/>
  <c r="AQ26" i="29"/>
  <c r="AP26" i="29"/>
  <c r="AO26" i="29"/>
  <c r="AN26" i="29"/>
  <c r="AM26" i="29"/>
  <c r="AL26" i="29"/>
  <c r="AK26" i="29"/>
  <c r="AJ26" i="29"/>
  <c r="AI26" i="29"/>
  <c r="C26" i="29"/>
  <c r="B26" i="29"/>
  <c r="A26" i="29"/>
  <c r="C25" i="29"/>
  <c r="B25" i="29"/>
  <c r="A25" i="29"/>
  <c r="AU24" i="29"/>
  <c r="AT24" i="29"/>
  <c r="AS24" i="29"/>
  <c r="AR24" i="29"/>
  <c r="AQ24" i="29"/>
  <c r="AP24" i="29"/>
  <c r="AO24" i="29"/>
  <c r="AN24" i="29"/>
  <c r="AM24" i="29"/>
  <c r="AL24" i="29"/>
  <c r="AK24" i="29"/>
  <c r="AJ24" i="29"/>
  <c r="AI24" i="29"/>
  <c r="C24" i="29"/>
  <c r="B24" i="29"/>
  <c r="A24" i="29"/>
  <c r="AU23" i="29"/>
  <c r="AT23" i="29"/>
  <c r="AS23" i="29"/>
  <c r="AR23" i="29"/>
  <c r="AQ23" i="29"/>
  <c r="AP23" i="29"/>
  <c r="AO23" i="29"/>
  <c r="AN23" i="29"/>
  <c r="AM23" i="29"/>
  <c r="AL23" i="29"/>
  <c r="AK23" i="29"/>
  <c r="AJ23" i="29"/>
  <c r="AI23" i="29"/>
  <c r="C23" i="29"/>
  <c r="B23" i="29"/>
  <c r="A23" i="29"/>
  <c r="C22" i="29"/>
  <c r="B22" i="29"/>
  <c r="A22" i="29"/>
  <c r="AU21" i="29"/>
  <c r="AT21" i="29"/>
  <c r="AS21" i="29"/>
  <c r="AR21" i="29"/>
  <c r="AQ21" i="29"/>
  <c r="AP21" i="29"/>
  <c r="AO21" i="29"/>
  <c r="AN21" i="29"/>
  <c r="AM21" i="29"/>
  <c r="AL21" i="29"/>
  <c r="AK21" i="29"/>
  <c r="AJ21" i="29"/>
  <c r="AI21" i="29"/>
  <c r="C21" i="29"/>
  <c r="B21" i="29"/>
  <c r="A21" i="29"/>
  <c r="C20" i="29"/>
  <c r="B20" i="29"/>
  <c r="A20" i="29"/>
  <c r="AU19" i="29"/>
  <c r="AT19" i="29"/>
  <c r="AS19" i="29"/>
  <c r="AR19" i="29"/>
  <c r="AQ19" i="29"/>
  <c r="AP19" i="29"/>
  <c r="AO19" i="29"/>
  <c r="AN19" i="29"/>
  <c r="AM19" i="29"/>
  <c r="AL19" i="29"/>
  <c r="AK19" i="29"/>
  <c r="AJ19" i="29"/>
  <c r="AI19" i="29"/>
  <c r="C19" i="29"/>
  <c r="B19" i="29"/>
  <c r="A19" i="29"/>
  <c r="C18" i="29"/>
  <c r="B18" i="29"/>
  <c r="A18" i="29"/>
  <c r="AU17" i="29"/>
  <c r="AT17" i="29"/>
  <c r="AS17" i="29"/>
  <c r="AR17" i="29"/>
  <c r="AQ17" i="29"/>
  <c r="AP17" i="29"/>
  <c r="AO17" i="29"/>
  <c r="AN17" i="29"/>
  <c r="AM17" i="29"/>
  <c r="AL17" i="29"/>
  <c r="AK17" i="29"/>
  <c r="AJ17" i="29"/>
  <c r="AI17" i="29"/>
  <c r="C17" i="29"/>
  <c r="B17" i="29"/>
  <c r="A17" i="29"/>
  <c r="C16" i="29"/>
  <c r="B16" i="29"/>
  <c r="A16" i="29"/>
  <c r="C15" i="29"/>
  <c r="B15" i="29"/>
  <c r="A15" i="29"/>
  <c r="AU14" i="29"/>
  <c r="AT14" i="29"/>
  <c r="AS14" i="29"/>
  <c r="AR14" i="29"/>
  <c r="AQ14" i="29"/>
  <c r="AP14" i="29"/>
  <c r="AO14" i="29"/>
  <c r="AN14" i="29"/>
  <c r="AM14" i="29"/>
  <c r="AL14" i="29"/>
  <c r="AK14" i="29"/>
  <c r="AJ14" i="29"/>
  <c r="AI14" i="29"/>
  <c r="C14" i="29"/>
  <c r="B14" i="29"/>
  <c r="A14" i="29"/>
  <c r="C13" i="29"/>
  <c r="B13" i="29"/>
  <c r="A13" i="29"/>
  <c r="AU12" i="29"/>
  <c r="AT12" i="29"/>
  <c r="AS12" i="29"/>
  <c r="AR12" i="29"/>
  <c r="AQ12" i="29"/>
  <c r="AP12" i="29"/>
  <c r="AO12" i="29"/>
  <c r="AN12" i="29"/>
  <c r="AM12" i="29"/>
  <c r="AL12" i="29"/>
  <c r="AK12" i="29"/>
  <c r="AJ12" i="29"/>
  <c r="AI12" i="29"/>
  <c r="C12" i="29"/>
  <c r="B12" i="29"/>
  <c r="A12" i="29"/>
  <c r="C11" i="29"/>
  <c r="B11" i="29"/>
  <c r="A11" i="29"/>
  <c r="AH106" i="28"/>
  <c r="AG106" i="28"/>
  <c r="AF106" i="28"/>
  <c r="AE106" i="28"/>
  <c r="AD106" i="28"/>
  <c r="AC106" i="28"/>
  <c r="AB106" i="28"/>
  <c r="AA106" i="28"/>
  <c r="Z106" i="28"/>
  <c r="Y106" i="28"/>
  <c r="X106" i="28"/>
  <c r="W106" i="28"/>
  <c r="O106" i="28"/>
  <c r="N106" i="28"/>
  <c r="M106" i="28"/>
  <c r="L106" i="28"/>
  <c r="K106" i="28"/>
  <c r="J106" i="28"/>
  <c r="I106" i="28"/>
  <c r="H106" i="28"/>
  <c r="G106" i="28"/>
  <c r="F106" i="28"/>
  <c r="E106" i="28"/>
  <c r="D106" i="28"/>
  <c r="AH84" i="28"/>
  <c r="AG84" i="28"/>
  <c r="AF84" i="28"/>
  <c r="AE84" i="28"/>
  <c r="AD84" i="28"/>
  <c r="AC84" i="28"/>
  <c r="AB84" i="28"/>
  <c r="AA84" i="28"/>
  <c r="Z84" i="28"/>
  <c r="Y84" i="28"/>
  <c r="X84" i="28"/>
  <c r="W84" i="28"/>
  <c r="P84" i="28"/>
  <c r="O84" i="28"/>
  <c r="N84" i="28"/>
  <c r="M84" i="28"/>
  <c r="L84" i="28"/>
  <c r="K84" i="28"/>
  <c r="J84" i="28"/>
  <c r="I84" i="28"/>
  <c r="H84" i="28"/>
  <c r="G84" i="28"/>
  <c r="F84" i="28"/>
  <c r="E84" i="28"/>
  <c r="D84" i="28"/>
  <c r="AU80" i="28"/>
  <c r="AT80" i="28"/>
  <c r="AS80" i="28"/>
  <c r="AR80" i="28"/>
  <c r="AQ80" i="28"/>
  <c r="AP80" i="28"/>
  <c r="AO80" i="28"/>
  <c r="AN80" i="28"/>
  <c r="AM80" i="28"/>
  <c r="AL80" i="28"/>
  <c r="AK80" i="28"/>
  <c r="AJ80" i="28"/>
  <c r="AI80" i="28"/>
  <c r="C80" i="28"/>
  <c r="B80" i="28"/>
  <c r="A80" i="28"/>
  <c r="AU79" i="28"/>
  <c r="AT79" i="28"/>
  <c r="AS79" i="28"/>
  <c r="AR79" i="28"/>
  <c r="AQ79" i="28"/>
  <c r="AP79" i="28"/>
  <c r="AO79" i="28"/>
  <c r="AN79" i="28"/>
  <c r="AM79" i="28"/>
  <c r="AL79" i="28"/>
  <c r="AK79" i="28"/>
  <c r="AJ79" i="28"/>
  <c r="AI79" i="28"/>
  <c r="C79" i="28"/>
  <c r="B79" i="28"/>
  <c r="A79" i="28"/>
  <c r="C78" i="28"/>
  <c r="B78" i="28"/>
  <c r="A78" i="28"/>
  <c r="AU77" i="28"/>
  <c r="AT77" i="28"/>
  <c r="AS77" i="28"/>
  <c r="AR77" i="28"/>
  <c r="AQ77" i="28"/>
  <c r="AP77" i="28"/>
  <c r="AO77" i="28"/>
  <c r="AN77" i="28"/>
  <c r="AM77" i="28"/>
  <c r="AL77" i="28"/>
  <c r="AK77" i="28"/>
  <c r="AJ77" i="28"/>
  <c r="AI77" i="28"/>
  <c r="C77" i="28"/>
  <c r="B77" i="28"/>
  <c r="A77" i="28"/>
  <c r="AU76" i="28"/>
  <c r="AT76" i="28"/>
  <c r="AS76" i="28"/>
  <c r="AR76" i="28"/>
  <c r="AQ76" i="28"/>
  <c r="AP76" i="28"/>
  <c r="AO76" i="28"/>
  <c r="AN76" i="28"/>
  <c r="AM76" i="28"/>
  <c r="AL76" i="28"/>
  <c r="AK76" i="28"/>
  <c r="AJ76" i="28"/>
  <c r="AI76" i="28"/>
  <c r="C76" i="28"/>
  <c r="B76" i="28"/>
  <c r="A76" i="28"/>
  <c r="C75" i="28"/>
  <c r="B75" i="28"/>
  <c r="A75" i="28"/>
  <c r="AG74" i="28"/>
  <c r="AC74" i="28"/>
  <c r="Z74" i="28"/>
  <c r="Y74" i="28"/>
  <c r="X74" i="28"/>
  <c r="W74" i="28"/>
  <c r="U74" i="28"/>
  <c r="Q74" i="28"/>
  <c r="N74" i="28"/>
  <c r="M74" i="28"/>
  <c r="L74" i="28"/>
  <c r="K74" i="28"/>
  <c r="I74" i="28"/>
  <c r="E74" i="28"/>
  <c r="C74" i="28"/>
  <c r="B74" i="28"/>
  <c r="A74" i="28"/>
  <c r="AH73" i="28"/>
  <c r="AG73" i="28"/>
  <c r="AF73" i="28"/>
  <c r="AE73" i="28"/>
  <c r="AD73" i="28"/>
  <c r="AC73" i="28"/>
  <c r="AB73" i="28"/>
  <c r="AA73" i="28"/>
  <c r="Z73" i="28"/>
  <c r="Y73" i="28"/>
  <c r="X73" i="28"/>
  <c r="W73" i="28"/>
  <c r="V73" i="28"/>
  <c r="U73" i="28"/>
  <c r="T73" i="28"/>
  <c r="S73" i="28"/>
  <c r="R73" i="28"/>
  <c r="Q73" i="28"/>
  <c r="P73" i="28"/>
  <c r="O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B73" i="28"/>
  <c r="A73" i="28"/>
  <c r="AU72" i="28"/>
  <c r="AT72" i="28"/>
  <c r="AS72" i="28"/>
  <c r="AR72" i="28"/>
  <c r="AQ72" i="28"/>
  <c r="AP72" i="28"/>
  <c r="AO72" i="28"/>
  <c r="AN72" i="28"/>
  <c r="AM72" i="28"/>
  <c r="AL72" i="28"/>
  <c r="AK72" i="28"/>
  <c r="AJ72" i="28"/>
  <c r="AI72" i="28"/>
  <c r="C72" i="28"/>
  <c r="B72" i="28"/>
  <c r="A72" i="28"/>
  <c r="AU71" i="28"/>
  <c r="AT71" i="28"/>
  <c r="AS71" i="28"/>
  <c r="AR71" i="28"/>
  <c r="AQ71" i="28"/>
  <c r="AP71" i="28"/>
  <c r="AO71" i="28"/>
  <c r="AN71" i="28"/>
  <c r="AM71" i="28"/>
  <c r="AL71" i="28"/>
  <c r="AK71" i="28"/>
  <c r="AJ71" i="28"/>
  <c r="AI71" i="28"/>
  <c r="C71" i="28"/>
  <c r="B71" i="28"/>
  <c r="A71" i="28"/>
  <c r="AU70" i="28"/>
  <c r="AT70" i="28"/>
  <c r="AS70" i="28"/>
  <c r="AR70" i="28"/>
  <c r="AQ70" i="28"/>
  <c r="AP70" i="28"/>
  <c r="AO70" i="28"/>
  <c r="AN70" i="28"/>
  <c r="AM70" i="28"/>
  <c r="AL70" i="28"/>
  <c r="AK70" i="28"/>
  <c r="AJ70" i="28"/>
  <c r="AI70" i="28"/>
  <c r="C70" i="28"/>
  <c r="B70" i="28"/>
  <c r="A70" i="28"/>
  <c r="AU69" i="28"/>
  <c r="AT69" i="28"/>
  <c r="AS69" i="28"/>
  <c r="AR69" i="28"/>
  <c r="AQ69" i="28"/>
  <c r="AP69" i="28"/>
  <c r="AO69" i="28"/>
  <c r="AN69" i="28"/>
  <c r="AM69" i="28"/>
  <c r="AL69" i="28"/>
  <c r="AK69" i="28"/>
  <c r="AJ69" i="28"/>
  <c r="AI69" i="28"/>
  <c r="C69" i="28"/>
  <c r="B69" i="28"/>
  <c r="A69" i="28"/>
  <c r="AU68" i="28"/>
  <c r="AT68" i="28"/>
  <c r="AS68" i="28"/>
  <c r="AR68" i="28"/>
  <c r="AQ68" i="28"/>
  <c r="AP68" i="28"/>
  <c r="AO68" i="28"/>
  <c r="AN68" i="28"/>
  <c r="AM68" i="28"/>
  <c r="AL68" i="28"/>
  <c r="AK68" i="28"/>
  <c r="AJ68" i="28"/>
  <c r="AI68" i="28"/>
  <c r="C68" i="28"/>
  <c r="B68" i="28"/>
  <c r="A68" i="28"/>
  <c r="AU67" i="28"/>
  <c r="AT67" i="28"/>
  <c r="AS67" i="28"/>
  <c r="AR67" i="28"/>
  <c r="AQ67" i="28"/>
  <c r="AP67" i="28"/>
  <c r="AO67" i="28"/>
  <c r="AN67" i="28"/>
  <c r="AM67" i="28"/>
  <c r="AL67" i="28"/>
  <c r="AK67" i="28"/>
  <c r="AJ67" i="28"/>
  <c r="AI67" i="28"/>
  <c r="C67" i="28"/>
  <c r="B67" i="28"/>
  <c r="A67" i="28"/>
  <c r="AU66" i="28"/>
  <c r="AT66" i="28"/>
  <c r="AS66" i="28"/>
  <c r="AR66" i="28"/>
  <c r="AQ66" i="28"/>
  <c r="AP66" i="28"/>
  <c r="AO66" i="28"/>
  <c r="AN66" i="28"/>
  <c r="AM66" i="28"/>
  <c r="AL66" i="28"/>
  <c r="AK66" i="28"/>
  <c r="AJ66" i="28"/>
  <c r="AI66" i="28"/>
  <c r="C66" i="28"/>
  <c r="B66" i="28"/>
  <c r="A66" i="28"/>
  <c r="AU65" i="28"/>
  <c r="AT65" i="28"/>
  <c r="AS65" i="28"/>
  <c r="AR65" i="28"/>
  <c r="AQ65" i="28"/>
  <c r="AP65" i="28"/>
  <c r="AO65" i="28"/>
  <c r="AN65" i="28"/>
  <c r="AM65" i="28"/>
  <c r="AL65" i="28"/>
  <c r="AK65" i="28"/>
  <c r="AJ65" i="28"/>
  <c r="AI65" i="28"/>
  <c r="C65" i="28"/>
  <c r="B65" i="28"/>
  <c r="A65" i="28"/>
  <c r="AU64" i="28"/>
  <c r="AT64" i="28"/>
  <c r="AS64" i="28"/>
  <c r="AR64" i="28"/>
  <c r="AQ64" i="28"/>
  <c r="AP64" i="28"/>
  <c r="AO64" i="28"/>
  <c r="AN64" i="28"/>
  <c r="AM64" i="28"/>
  <c r="AL64" i="28"/>
  <c r="AK64" i="28"/>
  <c r="AJ64" i="28"/>
  <c r="AI64" i="28"/>
  <c r="C64" i="28"/>
  <c r="B64" i="28"/>
  <c r="A64" i="28"/>
  <c r="AU63" i="28"/>
  <c r="AT63" i="28"/>
  <c r="AS63" i="28"/>
  <c r="AR63" i="28"/>
  <c r="AQ63" i="28"/>
  <c r="AP63" i="28"/>
  <c r="AO63" i="28"/>
  <c r="AN63" i="28"/>
  <c r="AM63" i="28"/>
  <c r="AL63" i="28"/>
  <c r="AK63" i="28"/>
  <c r="AJ63" i="28"/>
  <c r="AI63" i="28"/>
  <c r="C63" i="28"/>
  <c r="B63" i="28"/>
  <c r="A63" i="28"/>
  <c r="AU62" i="28"/>
  <c r="AT62" i="28"/>
  <c r="AS62" i="28"/>
  <c r="AR62" i="28"/>
  <c r="AQ62" i="28"/>
  <c r="AP62" i="28"/>
  <c r="AO62" i="28"/>
  <c r="AN62" i="28"/>
  <c r="AM62" i="28"/>
  <c r="AL62" i="28"/>
  <c r="AK62" i="28"/>
  <c r="AJ62" i="28"/>
  <c r="AI62" i="28"/>
  <c r="C62" i="28"/>
  <c r="B62" i="28"/>
  <c r="A62" i="28"/>
  <c r="C61" i="28"/>
  <c r="B61" i="28"/>
  <c r="A61" i="28"/>
  <c r="AH60" i="28"/>
  <c r="AH74" i="28" s="1"/>
  <c r="AG60" i="28"/>
  <c r="AF60" i="28"/>
  <c r="AF74" i="28" s="1"/>
  <c r="AE60" i="28"/>
  <c r="AE74" i="28" s="1"/>
  <c r="AD60" i="28"/>
  <c r="AD74" i="28" s="1"/>
  <c r="AC60" i="28"/>
  <c r="AB60" i="28"/>
  <c r="AB74" i="28" s="1"/>
  <c r="AA60" i="28"/>
  <c r="AA74" i="28" s="1"/>
  <c r="Z60" i="28"/>
  <c r="Y60" i="28"/>
  <c r="X60" i="28"/>
  <c r="W60" i="28"/>
  <c r="V60" i="28"/>
  <c r="V74" i="28" s="1"/>
  <c r="U60" i="28"/>
  <c r="T60" i="28"/>
  <c r="T74" i="28" s="1"/>
  <c r="S60" i="28"/>
  <c r="S74" i="28" s="1"/>
  <c r="R60" i="28"/>
  <c r="R74" i="28" s="1"/>
  <c r="Q60" i="28"/>
  <c r="P60" i="28"/>
  <c r="P74" i="28" s="1"/>
  <c r="O60" i="28"/>
  <c r="O74" i="28" s="1"/>
  <c r="N60" i="28"/>
  <c r="M60" i="28"/>
  <c r="L60" i="28"/>
  <c r="K60" i="28"/>
  <c r="J60" i="28"/>
  <c r="J74" i="28" s="1"/>
  <c r="I60" i="28"/>
  <c r="H60" i="28"/>
  <c r="H74" i="28" s="1"/>
  <c r="G60" i="28"/>
  <c r="G74" i="28" s="1"/>
  <c r="F60" i="28"/>
  <c r="F74" i="28" s="1"/>
  <c r="E60" i="28"/>
  <c r="D60" i="28"/>
  <c r="D74" i="28" s="1"/>
  <c r="C60" i="28"/>
  <c r="B60" i="28"/>
  <c r="A60" i="28"/>
  <c r="AU59" i="28"/>
  <c r="AT59" i="28"/>
  <c r="AS59" i="28"/>
  <c r="AR59" i="28"/>
  <c r="AQ59" i="28"/>
  <c r="AP59" i="28"/>
  <c r="AO59" i="28"/>
  <c r="AN59" i="28"/>
  <c r="AM59" i="28"/>
  <c r="AL59" i="28"/>
  <c r="AK59" i="28"/>
  <c r="AJ59" i="28"/>
  <c r="AI59" i="28"/>
  <c r="C59" i="28"/>
  <c r="B59" i="28"/>
  <c r="A59" i="28"/>
  <c r="AU58" i="28"/>
  <c r="AT58" i="28"/>
  <c r="AS58" i="28"/>
  <c r="AR58" i="28"/>
  <c r="AQ58" i="28"/>
  <c r="AP58" i="28"/>
  <c r="AO58" i="28"/>
  <c r="AN58" i="28"/>
  <c r="AM58" i="28"/>
  <c r="AL58" i="28"/>
  <c r="AK58" i="28"/>
  <c r="AJ58" i="28"/>
  <c r="AI58" i="28"/>
  <c r="C58" i="28"/>
  <c r="B58" i="28"/>
  <c r="A58" i="28"/>
  <c r="AU57" i="28"/>
  <c r="AT57" i="28"/>
  <c r="AS57" i="28"/>
  <c r="AR57" i="28"/>
  <c r="AQ57" i="28"/>
  <c r="AP57" i="28"/>
  <c r="AO57" i="28"/>
  <c r="AN57" i="28"/>
  <c r="AM57" i="28"/>
  <c r="AL57" i="28"/>
  <c r="AK57" i="28"/>
  <c r="AJ57" i="28"/>
  <c r="AI57" i="28"/>
  <c r="C57" i="28"/>
  <c r="B57" i="28"/>
  <c r="A57" i="28"/>
  <c r="AU56" i="28"/>
  <c r="AT56" i="28"/>
  <c r="AS56" i="28"/>
  <c r="AR56" i="28"/>
  <c r="AQ56" i="28"/>
  <c r="AP56" i="28"/>
  <c r="AO56" i="28"/>
  <c r="AN56" i="28"/>
  <c r="AM56" i="28"/>
  <c r="AL56" i="28"/>
  <c r="AK56" i="28"/>
  <c r="AJ56" i="28"/>
  <c r="AI56" i="28"/>
  <c r="C56" i="28"/>
  <c r="B56" i="28"/>
  <c r="A56" i="28"/>
  <c r="AU55" i="28"/>
  <c r="AT55" i="28"/>
  <c r="AS55" i="28"/>
  <c r="AR55" i="28"/>
  <c r="AQ55" i="28"/>
  <c r="AP55" i="28"/>
  <c r="AO55" i="28"/>
  <c r="AN55" i="28"/>
  <c r="AM55" i="28"/>
  <c r="AL55" i="28"/>
  <c r="AK55" i="28"/>
  <c r="AJ55" i="28"/>
  <c r="AI55" i="28"/>
  <c r="C55" i="28"/>
  <c r="B55" i="28"/>
  <c r="A55" i="28"/>
  <c r="AU54" i="28"/>
  <c r="AT54" i="28"/>
  <c r="AS54" i="28"/>
  <c r="AR54" i="28"/>
  <c r="AQ54" i="28"/>
  <c r="AP54" i="28"/>
  <c r="AO54" i="28"/>
  <c r="AN54" i="28"/>
  <c r="AM54" i="28"/>
  <c r="AL54" i="28"/>
  <c r="AK54" i="28"/>
  <c r="AJ54" i="28"/>
  <c r="AI54" i="28"/>
  <c r="C54" i="28"/>
  <c r="B54" i="28"/>
  <c r="A54" i="28"/>
  <c r="AU53" i="28"/>
  <c r="AT53" i="28"/>
  <c r="AS53" i="28"/>
  <c r="AR53" i="28"/>
  <c r="AQ53" i="28"/>
  <c r="AP53" i="28"/>
  <c r="AO53" i="28"/>
  <c r="AN53" i="28"/>
  <c r="AM53" i="28"/>
  <c r="AL53" i="28"/>
  <c r="AK53" i="28"/>
  <c r="AJ53" i="28"/>
  <c r="AI53" i="28"/>
  <c r="C53" i="28"/>
  <c r="B53" i="28"/>
  <c r="A53" i="28"/>
  <c r="AU52" i="28"/>
  <c r="AT52" i="28"/>
  <c r="AS52" i="28"/>
  <c r="AR52" i="28"/>
  <c r="AQ52" i="28"/>
  <c r="AP52" i="28"/>
  <c r="AO52" i="28"/>
  <c r="AN52" i="28"/>
  <c r="AM52" i="28"/>
  <c r="AL52" i="28"/>
  <c r="AK52" i="28"/>
  <c r="AJ52" i="28"/>
  <c r="AI52" i="28"/>
  <c r="C52" i="28"/>
  <c r="B52" i="28"/>
  <c r="A52" i="28"/>
  <c r="AU51" i="28"/>
  <c r="AT51" i="28"/>
  <c r="AS51" i="28"/>
  <c r="AR51" i="28"/>
  <c r="AQ51" i="28"/>
  <c r="AP51" i="28"/>
  <c r="AO51" i="28"/>
  <c r="AN51" i="28"/>
  <c r="AM51" i="28"/>
  <c r="AL51" i="28"/>
  <c r="AK51" i="28"/>
  <c r="AJ51" i="28"/>
  <c r="AI51" i="28"/>
  <c r="C51" i="28"/>
  <c r="B51" i="28"/>
  <c r="A51" i="28"/>
  <c r="AU50" i="28"/>
  <c r="AT50" i="28"/>
  <c r="AS50" i="28"/>
  <c r="AR50" i="28"/>
  <c r="AQ50" i="28"/>
  <c r="AP50" i="28"/>
  <c r="AO50" i="28"/>
  <c r="AN50" i="28"/>
  <c r="AM50" i="28"/>
  <c r="AL50" i="28"/>
  <c r="AK50" i="28"/>
  <c r="AJ50" i="28"/>
  <c r="AI50" i="28"/>
  <c r="C50" i="28"/>
  <c r="B50" i="28"/>
  <c r="A50" i="28"/>
  <c r="C49" i="28"/>
  <c r="B49" i="28"/>
  <c r="A49" i="28"/>
  <c r="AU48" i="28"/>
  <c r="AT48" i="28"/>
  <c r="AS48" i="28"/>
  <c r="AR48" i="28"/>
  <c r="AQ48" i="28"/>
  <c r="AP48" i="28"/>
  <c r="AO48" i="28"/>
  <c r="AN48" i="28"/>
  <c r="AM48" i="28"/>
  <c r="AL48" i="28"/>
  <c r="AK48" i="28"/>
  <c r="AJ48" i="28"/>
  <c r="AI48" i="28"/>
  <c r="C48" i="28"/>
  <c r="B48" i="28"/>
  <c r="A48" i="28"/>
  <c r="AU47" i="28"/>
  <c r="AT47" i="28"/>
  <c r="AS47" i="28"/>
  <c r="AR47" i="28"/>
  <c r="AQ47" i="28"/>
  <c r="AP47" i="28"/>
  <c r="AO47" i="28"/>
  <c r="AN47" i="28"/>
  <c r="AM47" i="28"/>
  <c r="AL47" i="28"/>
  <c r="AK47" i="28"/>
  <c r="AJ47" i="28"/>
  <c r="AI47" i="28"/>
  <c r="C47" i="28"/>
  <c r="B47" i="28"/>
  <c r="A47" i="28"/>
  <c r="C46" i="28"/>
  <c r="B46" i="28"/>
  <c r="A46" i="28"/>
  <c r="AU45" i="28"/>
  <c r="AT45" i="28"/>
  <c r="AS45" i="28"/>
  <c r="AR45" i="28"/>
  <c r="AQ45" i="28"/>
  <c r="AP45" i="28"/>
  <c r="AO45" i="28"/>
  <c r="AN45" i="28"/>
  <c r="AM45" i="28"/>
  <c r="AL45" i="28"/>
  <c r="AK45" i="28"/>
  <c r="AJ45" i="28"/>
  <c r="AI45" i="28"/>
  <c r="C45" i="28"/>
  <c r="B45" i="28"/>
  <c r="A45" i="28"/>
  <c r="AU44" i="28"/>
  <c r="AT44" i="28"/>
  <c r="AS44" i="28"/>
  <c r="AR44" i="28"/>
  <c r="AQ44" i="28"/>
  <c r="AP44" i="28"/>
  <c r="AO44" i="28"/>
  <c r="AN44" i="28"/>
  <c r="AM44" i="28"/>
  <c r="AL44" i="28"/>
  <c r="AK44" i="28"/>
  <c r="AJ44" i="28"/>
  <c r="AI44" i="28"/>
  <c r="C44" i="28"/>
  <c r="B44" i="28"/>
  <c r="A44" i="28"/>
  <c r="C43" i="28"/>
  <c r="B43" i="28"/>
  <c r="A43" i="28"/>
  <c r="AU42" i="28"/>
  <c r="AT42" i="28"/>
  <c r="AS42" i="28"/>
  <c r="AR42" i="28"/>
  <c r="AQ42" i="28"/>
  <c r="AP42" i="28"/>
  <c r="AO42" i="28"/>
  <c r="AN42" i="28"/>
  <c r="AM42" i="28"/>
  <c r="AL42" i="28"/>
  <c r="AK42" i="28"/>
  <c r="AJ42" i="28"/>
  <c r="AI42" i="28"/>
  <c r="C42" i="28"/>
  <c r="B42" i="28"/>
  <c r="A42" i="28"/>
  <c r="C41" i="28"/>
  <c r="B41" i="28"/>
  <c r="A41" i="28"/>
  <c r="AU40" i="28"/>
  <c r="AT40" i="28"/>
  <c r="AS40" i="28"/>
  <c r="AR40" i="28"/>
  <c r="AQ40" i="28"/>
  <c r="AP40" i="28"/>
  <c r="AO40" i="28"/>
  <c r="AN40" i="28"/>
  <c r="AM40" i="28"/>
  <c r="AL40" i="28"/>
  <c r="AK40" i="28"/>
  <c r="AJ40" i="28"/>
  <c r="AI40" i="28"/>
  <c r="C40" i="28"/>
  <c r="B40" i="28"/>
  <c r="A40" i="28"/>
  <c r="C39" i="28"/>
  <c r="B39" i="28"/>
  <c r="A39" i="28"/>
  <c r="C38" i="28"/>
  <c r="B38" i="28"/>
  <c r="A38" i="28"/>
  <c r="AH37" i="28"/>
  <c r="AG37" i="28"/>
  <c r="AF37" i="28"/>
  <c r="AE37" i="28"/>
  <c r="AD37" i="28"/>
  <c r="AC37" i="28"/>
  <c r="AB37" i="28"/>
  <c r="AA37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B37" i="28"/>
  <c r="A37" i="28"/>
  <c r="AU36" i="28"/>
  <c r="AT36" i="28"/>
  <c r="AS36" i="28"/>
  <c r="AR36" i="28"/>
  <c r="AQ36" i="28"/>
  <c r="AP36" i="28"/>
  <c r="AO36" i="28"/>
  <c r="AN36" i="28"/>
  <c r="AM36" i="28"/>
  <c r="AL36" i="28"/>
  <c r="AK36" i="28"/>
  <c r="AJ36" i="28"/>
  <c r="AI36" i="28"/>
  <c r="C36" i="28"/>
  <c r="B36" i="28"/>
  <c r="A36" i="28"/>
  <c r="C35" i="28"/>
  <c r="B35" i="28"/>
  <c r="A35" i="28"/>
  <c r="AU34" i="28"/>
  <c r="AT34" i="28"/>
  <c r="AS34" i="28"/>
  <c r="AR34" i="28"/>
  <c r="AQ34" i="28"/>
  <c r="AP34" i="28"/>
  <c r="AO34" i="28"/>
  <c r="AN34" i="28"/>
  <c r="AM34" i="28"/>
  <c r="AL34" i="28"/>
  <c r="AK34" i="28"/>
  <c r="AJ34" i="28"/>
  <c r="AI34" i="28"/>
  <c r="C34" i="28"/>
  <c r="B34" i="28"/>
  <c r="A34" i="28"/>
  <c r="AU33" i="28"/>
  <c r="AT33" i="28"/>
  <c r="AS33" i="28"/>
  <c r="AR33" i="28"/>
  <c r="AQ33" i="28"/>
  <c r="AP33" i="28"/>
  <c r="AO33" i="28"/>
  <c r="AN33" i="28"/>
  <c r="AM33" i="28"/>
  <c r="AL33" i="28"/>
  <c r="AK33" i="28"/>
  <c r="AJ33" i="28"/>
  <c r="AI33" i="28"/>
  <c r="C33" i="28"/>
  <c r="B33" i="28"/>
  <c r="A33" i="28"/>
  <c r="C32" i="28"/>
  <c r="B32" i="28"/>
  <c r="A32" i="28"/>
  <c r="AU31" i="28"/>
  <c r="AT31" i="28"/>
  <c r="AS31" i="28"/>
  <c r="AR31" i="28"/>
  <c r="AQ31" i="28"/>
  <c r="AP31" i="28"/>
  <c r="AO31" i="28"/>
  <c r="AN31" i="28"/>
  <c r="AM31" i="28"/>
  <c r="AL31" i="28"/>
  <c r="AK31" i="28"/>
  <c r="AJ31" i="28"/>
  <c r="AI31" i="28"/>
  <c r="C31" i="28"/>
  <c r="B31" i="28"/>
  <c r="A31" i="28"/>
  <c r="C30" i="28"/>
  <c r="B30" i="28"/>
  <c r="A30" i="28"/>
  <c r="AU29" i="28"/>
  <c r="AT29" i="28"/>
  <c r="AS29" i="28"/>
  <c r="AR29" i="28"/>
  <c r="AQ29" i="28"/>
  <c r="AP29" i="28"/>
  <c r="AO29" i="28"/>
  <c r="AN29" i="28"/>
  <c r="AM29" i="28"/>
  <c r="AL29" i="28"/>
  <c r="AK29" i="28"/>
  <c r="AJ29" i="28"/>
  <c r="AI29" i="28"/>
  <c r="C29" i="28"/>
  <c r="B29" i="28"/>
  <c r="A29" i="28"/>
  <c r="AU28" i="28"/>
  <c r="AT28" i="28"/>
  <c r="AS28" i="28"/>
  <c r="AR28" i="28"/>
  <c r="AQ28" i="28"/>
  <c r="AP28" i="28"/>
  <c r="AO28" i="28"/>
  <c r="AN28" i="28"/>
  <c r="AM28" i="28"/>
  <c r="AL28" i="28"/>
  <c r="AK28" i="28"/>
  <c r="AJ28" i="28"/>
  <c r="AI28" i="28"/>
  <c r="C28" i="28"/>
  <c r="B28" i="28"/>
  <c r="A28" i="28"/>
  <c r="AU27" i="28"/>
  <c r="AT27" i="28"/>
  <c r="AS27" i="28"/>
  <c r="AR27" i="28"/>
  <c r="AQ27" i="28"/>
  <c r="AP27" i="28"/>
  <c r="AO27" i="28"/>
  <c r="AN27" i="28"/>
  <c r="AM27" i="28"/>
  <c r="AL27" i="28"/>
  <c r="AK27" i="28"/>
  <c r="AJ27" i="28"/>
  <c r="AI27" i="28"/>
  <c r="C27" i="28"/>
  <c r="B27" i="28"/>
  <c r="A27" i="28"/>
  <c r="AU26" i="28"/>
  <c r="AT26" i="28"/>
  <c r="AS26" i="28"/>
  <c r="AR26" i="28"/>
  <c r="AQ26" i="28"/>
  <c r="AP26" i="28"/>
  <c r="AO26" i="28"/>
  <c r="AN26" i="28"/>
  <c r="AM26" i="28"/>
  <c r="AL26" i="28"/>
  <c r="AK26" i="28"/>
  <c r="AJ26" i="28"/>
  <c r="AI26" i="28"/>
  <c r="C26" i="28"/>
  <c r="B26" i="28"/>
  <c r="A26" i="28"/>
  <c r="C25" i="28"/>
  <c r="B25" i="28"/>
  <c r="A25" i="28"/>
  <c r="AU24" i="28"/>
  <c r="AT24" i="28"/>
  <c r="AS24" i="28"/>
  <c r="AR24" i="28"/>
  <c r="AQ24" i="28"/>
  <c r="AP24" i="28"/>
  <c r="AO24" i="28"/>
  <c r="AN24" i="28"/>
  <c r="AM24" i="28"/>
  <c r="AL24" i="28"/>
  <c r="AK24" i="28"/>
  <c r="AJ24" i="28"/>
  <c r="AI24" i="28"/>
  <c r="C24" i="28"/>
  <c r="B24" i="28"/>
  <c r="A24" i="28"/>
  <c r="AU23" i="28"/>
  <c r="AT23" i="28"/>
  <c r="AS23" i="28"/>
  <c r="AR23" i="28"/>
  <c r="AQ23" i="28"/>
  <c r="AP23" i="28"/>
  <c r="AO23" i="28"/>
  <c r="AN23" i="28"/>
  <c r="AM23" i="28"/>
  <c r="AL23" i="28"/>
  <c r="AK23" i="28"/>
  <c r="AJ23" i="28"/>
  <c r="AI23" i="28"/>
  <c r="C23" i="28"/>
  <c r="B23" i="28"/>
  <c r="A23" i="28"/>
  <c r="C22" i="28"/>
  <c r="B22" i="28"/>
  <c r="A22" i="28"/>
  <c r="AU21" i="28"/>
  <c r="AT21" i="28"/>
  <c r="AS21" i="28"/>
  <c r="AR21" i="28"/>
  <c r="AQ21" i="28"/>
  <c r="AP21" i="28"/>
  <c r="AO21" i="28"/>
  <c r="AN21" i="28"/>
  <c r="AM21" i="28"/>
  <c r="AL21" i="28"/>
  <c r="AK21" i="28"/>
  <c r="AJ21" i="28"/>
  <c r="AI21" i="28"/>
  <c r="C21" i="28"/>
  <c r="B21" i="28"/>
  <c r="A21" i="28"/>
  <c r="C20" i="28"/>
  <c r="B20" i="28"/>
  <c r="A20" i="28"/>
  <c r="AU19" i="28"/>
  <c r="AT19" i="28"/>
  <c r="AS19" i="28"/>
  <c r="AR19" i="28"/>
  <c r="AQ19" i="28"/>
  <c r="AP19" i="28"/>
  <c r="AO19" i="28"/>
  <c r="AN19" i="28"/>
  <c r="AM19" i="28"/>
  <c r="AL19" i="28"/>
  <c r="AK19" i="28"/>
  <c r="AJ19" i="28"/>
  <c r="AI19" i="28"/>
  <c r="C19" i="28"/>
  <c r="B19" i="28"/>
  <c r="A19" i="28"/>
  <c r="C18" i="28"/>
  <c r="B18" i="28"/>
  <c r="A18" i="28"/>
  <c r="AU17" i="28"/>
  <c r="AT17" i="28"/>
  <c r="AS17" i="28"/>
  <c r="AR17" i="28"/>
  <c r="AQ17" i="28"/>
  <c r="AP17" i="28"/>
  <c r="AO17" i="28"/>
  <c r="AN17" i="28"/>
  <c r="AM17" i="28"/>
  <c r="AL17" i="28"/>
  <c r="AK17" i="28"/>
  <c r="AJ17" i="28"/>
  <c r="AI17" i="28"/>
  <c r="C17" i="28"/>
  <c r="B17" i="28"/>
  <c r="A17" i="28"/>
  <c r="C16" i="28"/>
  <c r="B16" i="28"/>
  <c r="A16" i="28"/>
  <c r="C15" i="28"/>
  <c r="B15" i="28"/>
  <c r="A15" i="28"/>
  <c r="AU14" i="28"/>
  <c r="AT14" i="28"/>
  <c r="AS14" i="28"/>
  <c r="AR14" i="28"/>
  <c r="AQ14" i="28"/>
  <c r="AP14" i="28"/>
  <c r="AO14" i="28"/>
  <c r="AN14" i="28"/>
  <c r="AM14" i="28"/>
  <c r="AL14" i="28"/>
  <c r="AK14" i="28"/>
  <c r="AJ14" i="28"/>
  <c r="AI14" i="28"/>
  <c r="C14" i="28"/>
  <c r="B14" i="28"/>
  <c r="A14" i="28"/>
  <c r="C13" i="28"/>
  <c r="B13" i="28"/>
  <c r="A13" i="28"/>
  <c r="AU12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C12" i="28"/>
  <c r="B12" i="28"/>
  <c r="A12" i="28"/>
  <c r="C11" i="28"/>
  <c r="B11" i="28"/>
  <c r="A11" i="28"/>
  <c r="AG106" i="27"/>
  <c r="AF106" i="27"/>
  <c r="AE106" i="27"/>
  <c r="AD106" i="27"/>
  <c r="AC106" i="27"/>
  <c r="AB106" i="27"/>
  <c r="AA106" i="27"/>
  <c r="Z106" i="27"/>
  <c r="Y106" i="27"/>
  <c r="X106" i="27"/>
  <c r="W106" i="27"/>
  <c r="O106" i="27"/>
  <c r="N106" i="27"/>
  <c r="M106" i="27"/>
  <c r="L106" i="27"/>
  <c r="K106" i="27"/>
  <c r="J106" i="27"/>
  <c r="I106" i="27"/>
  <c r="H106" i="27"/>
  <c r="G106" i="27"/>
  <c r="F106" i="27"/>
  <c r="E106" i="27"/>
  <c r="D106" i="27"/>
  <c r="AG84" i="27"/>
  <c r="AF84" i="27"/>
  <c r="AE84" i="27"/>
  <c r="AD84" i="27"/>
  <c r="AC84" i="27"/>
  <c r="AB84" i="27"/>
  <c r="AA84" i="27"/>
  <c r="Z84" i="27"/>
  <c r="Y84" i="27"/>
  <c r="X84" i="27"/>
  <c r="W84" i="27"/>
  <c r="P84" i="27"/>
  <c r="O84" i="27"/>
  <c r="N84" i="27"/>
  <c r="M84" i="27"/>
  <c r="L84" i="27"/>
  <c r="K84" i="27"/>
  <c r="J84" i="27"/>
  <c r="I84" i="27"/>
  <c r="H84" i="27"/>
  <c r="G84" i="27"/>
  <c r="F84" i="27"/>
  <c r="E84" i="27"/>
  <c r="D84" i="27"/>
  <c r="AT80" i="27"/>
  <c r="AS80" i="27"/>
  <c r="AR80" i="27"/>
  <c r="AQ80" i="27"/>
  <c r="AP80" i="27"/>
  <c r="AO80" i="27"/>
  <c r="AN80" i="27"/>
  <c r="AM80" i="27"/>
  <c r="AL80" i="27"/>
  <c r="AK80" i="27"/>
  <c r="AJ80" i="27"/>
  <c r="AI80" i="27"/>
  <c r="AH80" i="27"/>
  <c r="C80" i="27"/>
  <c r="B80" i="27"/>
  <c r="A80" i="27"/>
  <c r="AT79" i="27"/>
  <c r="AS79" i="27"/>
  <c r="AR79" i="27"/>
  <c r="AQ79" i="27"/>
  <c r="AP79" i="27"/>
  <c r="AO79" i="27"/>
  <c r="AN79" i="27"/>
  <c r="AM79" i="27"/>
  <c r="AL79" i="27"/>
  <c r="AK79" i="27"/>
  <c r="AJ79" i="27"/>
  <c r="AI79" i="27"/>
  <c r="AH79" i="27"/>
  <c r="C79" i="27"/>
  <c r="B79" i="27"/>
  <c r="A79" i="27"/>
  <c r="C78" i="27"/>
  <c r="B78" i="27"/>
  <c r="A78" i="27"/>
  <c r="AT77" i="27"/>
  <c r="AS77" i="27"/>
  <c r="AR77" i="27"/>
  <c r="AQ77" i="27"/>
  <c r="AP77" i="27"/>
  <c r="AO77" i="27"/>
  <c r="AN77" i="27"/>
  <c r="AM77" i="27"/>
  <c r="AL77" i="27"/>
  <c r="AK77" i="27"/>
  <c r="AJ77" i="27"/>
  <c r="AI77" i="27"/>
  <c r="AH77" i="27"/>
  <c r="C77" i="27"/>
  <c r="B77" i="27"/>
  <c r="A77" i="27"/>
  <c r="AT76" i="27"/>
  <c r="AS76" i="27"/>
  <c r="AR76" i="27"/>
  <c r="AQ76" i="27"/>
  <c r="AP76" i="27"/>
  <c r="AO76" i="27"/>
  <c r="AN76" i="27"/>
  <c r="AM76" i="27"/>
  <c r="AL76" i="27"/>
  <c r="AK76" i="27"/>
  <c r="AJ76" i="27"/>
  <c r="AI76" i="27"/>
  <c r="AH76" i="27"/>
  <c r="C76" i="27"/>
  <c r="B76" i="27"/>
  <c r="A76" i="27"/>
  <c r="C75" i="27"/>
  <c r="B75" i="27"/>
  <c r="A75" i="27"/>
  <c r="AF74" i="27"/>
  <c r="X74" i="27"/>
  <c r="Q74" i="27"/>
  <c r="J74" i="27"/>
  <c r="C74" i="27"/>
  <c r="B74" i="27"/>
  <c r="A74" i="27"/>
  <c r="AG73" i="27"/>
  <c r="AF73" i="27"/>
  <c r="AE73" i="27"/>
  <c r="AD73" i="27"/>
  <c r="AC73" i="27"/>
  <c r="AB73" i="27"/>
  <c r="AA73" i="27"/>
  <c r="Z73" i="27"/>
  <c r="Y73" i="27"/>
  <c r="X73" i="27"/>
  <c r="W73" i="27"/>
  <c r="V73" i="27"/>
  <c r="U73" i="27"/>
  <c r="T73" i="27"/>
  <c r="S73" i="27"/>
  <c r="R73" i="27"/>
  <c r="Q73" i="27"/>
  <c r="P73" i="27"/>
  <c r="O73" i="27"/>
  <c r="N73" i="27"/>
  <c r="M73" i="27"/>
  <c r="L73" i="27"/>
  <c r="K73" i="27"/>
  <c r="J73" i="27"/>
  <c r="I73" i="27"/>
  <c r="H73" i="27"/>
  <c r="G73" i="27"/>
  <c r="F73" i="27"/>
  <c r="E73" i="27"/>
  <c r="D73" i="27"/>
  <c r="C73" i="27"/>
  <c r="B73" i="27"/>
  <c r="A73" i="27"/>
  <c r="AT72" i="27"/>
  <c r="AS72" i="27"/>
  <c r="AR72" i="27"/>
  <c r="AQ72" i="27"/>
  <c r="AP72" i="27"/>
  <c r="AO72" i="27"/>
  <c r="AN72" i="27"/>
  <c r="AM72" i="27"/>
  <c r="AL72" i="27"/>
  <c r="AK72" i="27"/>
  <c r="AJ72" i="27"/>
  <c r="AI72" i="27"/>
  <c r="AH72" i="27"/>
  <c r="C72" i="27"/>
  <c r="B72" i="27"/>
  <c r="A72" i="27"/>
  <c r="AT71" i="27"/>
  <c r="AS71" i="27"/>
  <c r="AR71" i="27"/>
  <c r="AQ71" i="27"/>
  <c r="AP71" i="27"/>
  <c r="AO71" i="27"/>
  <c r="AN71" i="27"/>
  <c r="AM71" i="27"/>
  <c r="AL71" i="27"/>
  <c r="AK71" i="27"/>
  <c r="AJ71" i="27"/>
  <c r="AI71" i="27"/>
  <c r="AH71" i="27"/>
  <c r="C71" i="27"/>
  <c r="B71" i="27"/>
  <c r="A71" i="27"/>
  <c r="AT70" i="27"/>
  <c r="AS70" i="27"/>
  <c r="AR70" i="27"/>
  <c r="AQ70" i="27"/>
  <c r="AP70" i="27"/>
  <c r="AO70" i="27"/>
  <c r="AN70" i="27"/>
  <c r="AM70" i="27"/>
  <c r="AL70" i="27"/>
  <c r="AK70" i="27"/>
  <c r="AJ70" i="27"/>
  <c r="AI70" i="27"/>
  <c r="AH70" i="27"/>
  <c r="C70" i="27"/>
  <c r="B70" i="27"/>
  <c r="A70" i="27"/>
  <c r="AT69" i="27"/>
  <c r="AS69" i="27"/>
  <c r="AR69" i="27"/>
  <c r="AQ69" i="27"/>
  <c r="AP69" i="27"/>
  <c r="AO69" i="27"/>
  <c r="AN69" i="27"/>
  <c r="AM69" i="27"/>
  <c r="AL69" i="27"/>
  <c r="AK69" i="27"/>
  <c r="AJ69" i="27"/>
  <c r="AI69" i="27"/>
  <c r="AH69" i="27"/>
  <c r="C69" i="27"/>
  <c r="B69" i="27"/>
  <c r="A69" i="27"/>
  <c r="AT68" i="27"/>
  <c r="AS68" i="27"/>
  <c r="AR68" i="27"/>
  <c r="AQ68" i="27"/>
  <c r="AP68" i="27"/>
  <c r="AO68" i="27"/>
  <c r="AN68" i="27"/>
  <c r="AM68" i="27"/>
  <c r="AL68" i="27"/>
  <c r="AK68" i="27"/>
  <c r="AJ68" i="27"/>
  <c r="AI68" i="27"/>
  <c r="AH68" i="27"/>
  <c r="C68" i="27"/>
  <c r="B68" i="27"/>
  <c r="A68" i="27"/>
  <c r="AT67" i="27"/>
  <c r="AS67" i="27"/>
  <c r="AR67" i="27"/>
  <c r="AQ67" i="27"/>
  <c r="AP67" i="27"/>
  <c r="AO67" i="27"/>
  <c r="AN67" i="27"/>
  <c r="AM67" i="27"/>
  <c r="AL67" i="27"/>
  <c r="AK67" i="27"/>
  <c r="AJ67" i="27"/>
  <c r="AI67" i="27"/>
  <c r="AH67" i="27"/>
  <c r="C67" i="27"/>
  <c r="B67" i="27"/>
  <c r="A67" i="27"/>
  <c r="AT66" i="27"/>
  <c r="AS66" i="27"/>
  <c r="AR66" i="27"/>
  <c r="AQ66" i="27"/>
  <c r="AP66" i="27"/>
  <c r="AO66" i="27"/>
  <c r="AN66" i="27"/>
  <c r="AM66" i="27"/>
  <c r="AL66" i="27"/>
  <c r="AK66" i="27"/>
  <c r="AJ66" i="27"/>
  <c r="AI66" i="27"/>
  <c r="AH66" i="27"/>
  <c r="C66" i="27"/>
  <c r="B66" i="27"/>
  <c r="A66" i="27"/>
  <c r="AT65" i="27"/>
  <c r="AS65" i="27"/>
  <c r="AR65" i="27"/>
  <c r="AQ65" i="27"/>
  <c r="AP65" i="27"/>
  <c r="AO65" i="27"/>
  <c r="AN65" i="27"/>
  <c r="AM65" i="27"/>
  <c r="AL65" i="27"/>
  <c r="AK65" i="27"/>
  <c r="AJ65" i="27"/>
  <c r="AI65" i="27"/>
  <c r="AH65" i="27"/>
  <c r="C65" i="27"/>
  <c r="B65" i="27"/>
  <c r="A65" i="27"/>
  <c r="AT64" i="27"/>
  <c r="AS64" i="27"/>
  <c r="AR64" i="27"/>
  <c r="AQ64" i="27"/>
  <c r="AP64" i="27"/>
  <c r="AO64" i="27"/>
  <c r="AN64" i="27"/>
  <c r="AM64" i="27"/>
  <c r="AL64" i="27"/>
  <c r="AK64" i="27"/>
  <c r="AJ64" i="27"/>
  <c r="AI64" i="27"/>
  <c r="AH64" i="27"/>
  <c r="C64" i="27"/>
  <c r="B64" i="27"/>
  <c r="A64" i="27"/>
  <c r="AT63" i="27"/>
  <c r="AS63" i="27"/>
  <c r="AR63" i="27"/>
  <c r="AQ63" i="27"/>
  <c r="AP63" i="27"/>
  <c r="AO63" i="27"/>
  <c r="AN63" i="27"/>
  <c r="AM63" i="27"/>
  <c r="AL63" i="27"/>
  <c r="AK63" i="27"/>
  <c r="AJ63" i="27"/>
  <c r="AI63" i="27"/>
  <c r="AH63" i="27"/>
  <c r="C63" i="27"/>
  <c r="B63" i="27"/>
  <c r="A63" i="27"/>
  <c r="AT62" i="27"/>
  <c r="AS62" i="27"/>
  <c r="AR62" i="27"/>
  <c r="AQ62" i="27"/>
  <c r="AP62" i="27"/>
  <c r="AO62" i="27"/>
  <c r="AN62" i="27"/>
  <c r="AM62" i="27"/>
  <c r="AL62" i="27"/>
  <c r="AK62" i="27"/>
  <c r="AJ62" i="27"/>
  <c r="AI62" i="27"/>
  <c r="AH62" i="27"/>
  <c r="C62" i="27"/>
  <c r="B62" i="27"/>
  <c r="A62" i="27"/>
  <c r="C61" i="27"/>
  <c r="B61" i="27"/>
  <c r="A61" i="27"/>
  <c r="AG60" i="27"/>
  <c r="AG74" i="27" s="1"/>
  <c r="AF60" i="27"/>
  <c r="AE60" i="27"/>
  <c r="AE74" i="27" s="1"/>
  <c r="AD60" i="27"/>
  <c r="AD74" i="27" s="1"/>
  <c r="AC60" i="27"/>
  <c r="AC74" i="27" s="1"/>
  <c r="AB60" i="27"/>
  <c r="AB74" i="27" s="1"/>
  <c r="AA60" i="27"/>
  <c r="AA74" i="27" s="1"/>
  <c r="Z60" i="27"/>
  <c r="Z74" i="27" s="1"/>
  <c r="Y60" i="27"/>
  <c r="Y74" i="27" s="1"/>
  <c r="X60" i="27"/>
  <c r="W60" i="27"/>
  <c r="W74" i="27" s="1"/>
  <c r="V60" i="27"/>
  <c r="V74" i="27" s="1"/>
  <c r="U60" i="27"/>
  <c r="U74" i="27" s="1"/>
  <c r="T60" i="27"/>
  <c r="T74" i="27" s="1"/>
  <c r="S60" i="27"/>
  <c r="S74" i="27" s="1"/>
  <c r="R60" i="27"/>
  <c r="R74" i="27" s="1"/>
  <c r="Q60" i="27"/>
  <c r="P60" i="27"/>
  <c r="P74" i="27" s="1"/>
  <c r="O60" i="27"/>
  <c r="O74" i="27" s="1"/>
  <c r="N60" i="27"/>
  <c r="N74" i="27" s="1"/>
  <c r="M60" i="27"/>
  <c r="M74" i="27" s="1"/>
  <c r="L60" i="27"/>
  <c r="L74" i="27" s="1"/>
  <c r="K60" i="27"/>
  <c r="K74" i="27" s="1"/>
  <c r="J60" i="27"/>
  <c r="I60" i="27"/>
  <c r="I74" i="27" s="1"/>
  <c r="H60" i="27"/>
  <c r="H74" i="27" s="1"/>
  <c r="G60" i="27"/>
  <c r="G74" i="27" s="1"/>
  <c r="F60" i="27"/>
  <c r="F74" i="27" s="1"/>
  <c r="E60" i="27"/>
  <c r="E74" i="27" s="1"/>
  <c r="D60" i="27"/>
  <c r="D74" i="27" s="1"/>
  <c r="C60" i="27"/>
  <c r="B60" i="27"/>
  <c r="A60" i="27"/>
  <c r="AT59" i="27"/>
  <c r="AS59" i="27"/>
  <c r="AR59" i="27"/>
  <c r="AQ59" i="27"/>
  <c r="AP59" i="27"/>
  <c r="AO59" i="27"/>
  <c r="AN59" i="27"/>
  <c r="AM59" i="27"/>
  <c r="AL59" i="27"/>
  <c r="AK59" i="27"/>
  <c r="AJ59" i="27"/>
  <c r="AI59" i="27"/>
  <c r="AH59" i="27"/>
  <c r="C59" i="27"/>
  <c r="B59" i="27"/>
  <c r="A59" i="27"/>
  <c r="AT58" i="27"/>
  <c r="AS58" i="27"/>
  <c r="AR58" i="27"/>
  <c r="AQ58" i="27"/>
  <c r="AP58" i="27"/>
  <c r="AO58" i="27"/>
  <c r="AN58" i="27"/>
  <c r="AM58" i="27"/>
  <c r="AL58" i="27"/>
  <c r="AK58" i="27"/>
  <c r="AJ58" i="27"/>
  <c r="AI58" i="27"/>
  <c r="AH58" i="27"/>
  <c r="C58" i="27"/>
  <c r="B58" i="27"/>
  <c r="A58" i="27"/>
  <c r="AT57" i="27"/>
  <c r="AS57" i="27"/>
  <c r="AR57" i="27"/>
  <c r="AQ57" i="27"/>
  <c r="AP57" i="27"/>
  <c r="AO57" i="27"/>
  <c r="AN57" i="27"/>
  <c r="AM57" i="27"/>
  <c r="AL57" i="27"/>
  <c r="AK57" i="27"/>
  <c r="AJ57" i="27"/>
  <c r="AI57" i="27"/>
  <c r="AH57" i="27"/>
  <c r="C57" i="27"/>
  <c r="B57" i="27"/>
  <c r="A57" i="27"/>
  <c r="AT56" i="27"/>
  <c r="AS56" i="27"/>
  <c r="AR56" i="27"/>
  <c r="AQ56" i="27"/>
  <c r="AP56" i="27"/>
  <c r="AO56" i="27"/>
  <c r="AN56" i="27"/>
  <c r="AM56" i="27"/>
  <c r="AL56" i="27"/>
  <c r="AK56" i="27"/>
  <c r="AJ56" i="27"/>
  <c r="AI56" i="27"/>
  <c r="AH56" i="27"/>
  <c r="C56" i="27"/>
  <c r="B56" i="27"/>
  <c r="A56" i="27"/>
  <c r="AT55" i="27"/>
  <c r="AS55" i="27"/>
  <c r="AR55" i="27"/>
  <c r="AQ55" i="27"/>
  <c r="AP55" i="27"/>
  <c r="AO55" i="27"/>
  <c r="AN55" i="27"/>
  <c r="AM55" i="27"/>
  <c r="AL55" i="27"/>
  <c r="AK55" i="27"/>
  <c r="AJ55" i="27"/>
  <c r="AI55" i="27"/>
  <c r="AH55" i="27"/>
  <c r="C55" i="27"/>
  <c r="B55" i="27"/>
  <c r="A55" i="27"/>
  <c r="AT54" i="27"/>
  <c r="AS54" i="27"/>
  <c r="AR54" i="27"/>
  <c r="AQ54" i="27"/>
  <c r="AP54" i="27"/>
  <c r="AO54" i="27"/>
  <c r="AN54" i="27"/>
  <c r="AM54" i="27"/>
  <c r="AL54" i="27"/>
  <c r="AK54" i="27"/>
  <c r="AJ54" i="27"/>
  <c r="AI54" i="27"/>
  <c r="AH54" i="27"/>
  <c r="C54" i="27"/>
  <c r="B54" i="27"/>
  <c r="A54" i="27"/>
  <c r="AT53" i="27"/>
  <c r="AS53" i="27"/>
  <c r="AR53" i="27"/>
  <c r="AQ53" i="27"/>
  <c r="AP53" i="27"/>
  <c r="AO53" i="27"/>
  <c r="AN53" i="27"/>
  <c r="AM53" i="27"/>
  <c r="AL53" i="27"/>
  <c r="AK53" i="27"/>
  <c r="AJ53" i="27"/>
  <c r="AI53" i="27"/>
  <c r="AH53" i="27"/>
  <c r="C53" i="27"/>
  <c r="B53" i="27"/>
  <c r="A53" i="27"/>
  <c r="AT52" i="27"/>
  <c r="AS52" i="27"/>
  <c r="AR52" i="27"/>
  <c r="AQ52" i="27"/>
  <c r="AP52" i="27"/>
  <c r="AO52" i="27"/>
  <c r="AN52" i="27"/>
  <c r="AM52" i="27"/>
  <c r="AL52" i="27"/>
  <c r="AK52" i="27"/>
  <c r="AJ52" i="27"/>
  <c r="AI52" i="27"/>
  <c r="AH52" i="27"/>
  <c r="C52" i="27"/>
  <c r="B52" i="27"/>
  <c r="A52" i="27"/>
  <c r="AT51" i="27"/>
  <c r="AS51" i="27"/>
  <c r="AR51" i="27"/>
  <c r="AQ51" i="27"/>
  <c r="AP51" i="27"/>
  <c r="AO51" i="27"/>
  <c r="AN51" i="27"/>
  <c r="AM51" i="27"/>
  <c r="AL51" i="27"/>
  <c r="AK51" i="27"/>
  <c r="AJ51" i="27"/>
  <c r="AI51" i="27"/>
  <c r="AH51" i="27"/>
  <c r="C51" i="27"/>
  <c r="B51" i="27"/>
  <c r="A51" i="27"/>
  <c r="AT50" i="27"/>
  <c r="AS50" i="27"/>
  <c r="AR50" i="27"/>
  <c r="AQ50" i="27"/>
  <c r="AP50" i="27"/>
  <c r="AO50" i="27"/>
  <c r="AN50" i="27"/>
  <c r="AM50" i="27"/>
  <c r="AL50" i="27"/>
  <c r="AK50" i="27"/>
  <c r="AJ50" i="27"/>
  <c r="AI50" i="27"/>
  <c r="AH50" i="27"/>
  <c r="C50" i="27"/>
  <c r="B50" i="27"/>
  <c r="A50" i="27"/>
  <c r="C49" i="27"/>
  <c r="B49" i="27"/>
  <c r="A49" i="27"/>
  <c r="AT48" i="27"/>
  <c r="AS48" i="27"/>
  <c r="AR48" i="27"/>
  <c r="AQ48" i="27"/>
  <c r="AP48" i="27"/>
  <c r="AO48" i="27"/>
  <c r="AN48" i="27"/>
  <c r="AM48" i="27"/>
  <c r="AL48" i="27"/>
  <c r="AK48" i="27"/>
  <c r="AJ48" i="27"/>
  <c r="AI48" i="27"/>
  <c r="AH48" i="27"/>
  <c r="C48" i="27"/>
  <c r="B48" i="27"/>
  <c r="A48" i="27"/>
  <c r="AT47" i="27"/>
  <c r="AS47" i="27"/>
  <c r="AR47" i="27"/>
  <c r="AQ47" i="27"/>
  <c r="AP47" i="27"/>
  <c r="AO47" i="27"/>
  <c r="AN47" i="27"/>
  <c r="AM47" i="27"/>
  <c r="AL47" i="27"/>
  <c r="AK47" i="27"/>
  <c r="AJ47" i="27"/>
  <c r="AI47" i="27"/>
  <c r="AH47" i="27"/>
  <c r="C47" i="27"/>
  <c r="B47" i="27"/>
  <c r="A47" i="27"/>
  <c r="C46" i="27"/>
  <c r="B46" i="27"/>
  <c r="A46" i="27"/>
  <c r="AT45" i="27"/>
  <c r="AS45" i="27"/>
  <c r="AR45" i="27"/>
  <c r="AQ45" i="27"/>
  <c r="AP45" i="27"/>
  <c r="AO45" i="27"/>
  <c r="AN45" i="27"/>
  <c r="AM45" i="27"/>
  <c r="AL45" i="27"/>
  <c r="AK45" i="27"/>
  <c r="AJ45" i="27"/>
  <c r="AI45" i="27"/>
  <c r="AH45" i="27"/>
  <c r="C45" i="27"/>
  <c r="B45" i="27"/>
  <c r="A45" i="27"/>
  <c r="AT44" i="27"/>
  <c r="AS44" i="27"/>
  <c r="AR44" i="27"/>
  <c r="AQ44" i="27"/>
  <c r="AP44" i="27"/>
  <c r="AO44" i="27"/>
  <c r="AN44" i="27"/>
  <c r="AM44" i="27"/>
  <c r="AL44" i="27"/>
  <c r="AK44" i="27"/>
  <c r="AJ44" i="27"/>
  <c r="AI44" i="27"/>
  <c r="AH44" i="27"/>
  <c r="C44" i="27"/>
  <c r="B44" i="27"/>
  <c r="A44" i="27"/>
  <c r="C43" i="27"/>
  <c r="B43" i="27"/>
  <c r="A43" i="27"/>
  <c r="AT42" i="27"/>
  <c r="AS42" i="27"/>
  <c r="AR42" i="27"/>
  <c r="AQ42" i="27"/>
  <c r="AP42" i="27"/>
  <c r="AO42" i="27"/>
  <c r="AN42" i="27"/>
  <c r="AM42" i="27"/>
  <c r="AL42" i="27"/>
  <c r="AK42" i="27"/>
  <c r="AJ42" i="27"/>
  <c r="AI42" i="27"/>
  <c r="AH42" i="27"/>
  <c r="C42" i="27"/>
  <c r="B42" i="27"/>
  <c r="A42" i="27"/>
  <c r="C41" i="27"/>
  <c r="B41" i="27"/>
  <c r="A41" i="27"/>
  <c r="AT40" i="27"/>
  <c r="AS40" i="27"/>
  <c r="AR40" i="27"/>
  <c r="AQ40" i="27"/>
  <c r="AP40" i="27"/>
  <c r="AO40" i="27"/>
  <c r="AN40" i="27"/>
  <c r="AM40" i="27"/>
  <c r="AL40" i="27"/>
  <c r="AK40" i="27"/>
  <c r="AJ40" i="27"/>
  <c r="AI40" i="27"/>
  <c r="AH40" i="27"/>
  <c r="C40" i="27"/>
  <c r="B40" i="27"/>
  <c r="A40" i="27"/>
  <c r="C39" i="27"/>
  <c r="B39" i="27"/>
  <c r="A39" i="27"/>
  <c r="C38" i="27"/>
  <c r="B38" i="27"/>
  <c r="A38" i="27"/>
  <c r="AG37" i="27"/>
  <c r="AF37" i="27"/>
  <c r="AE37" i="27"/>
  <c r="AD37" i="27"/>
  <c r="AC37" i="27"/>
  <c r="AB37" i="27"/>
  <c r="AA37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I37" i="27"/>
  <c r="H37" i="27"/>
  <c r="G37" i="27"/>
  <c r="F37" i="27"/>
  <c r="E37" i="27"/>
  <c r="D37" i="27"/>
  <c r="C37" i="27"/>
  <c r="B37" i="27"/>
  <c r="A37" i="27"/>
  <c r="AT36" i="27"/>
  <c r="AS36" i="27"/>
  <c r="AR36" i="27"/>
  <c r="AQ36" i="27"/>
  <c r="AP36" i="27"/>
  <c r="AO36" i="27"/>
  <c r="AN36" i="27"/>
  <c r="AM36" i="27"/>
  <c r="AL36" i="27"/>
  <c r="AK36" i="27"/>
  <c r="AJ36" i="27"/>
  <c r="AI36" i="27"/>
  <c r="AH36" i="27"/>
  <c r="C36" i="27"/>
  <c r="B36" i="27"/>
  <c r="A36" i="27"/>
  <c r="C35" i="27"/>
  <c r="B35" i="27"/>
  <c r="A35" i="27"/>
  <c r="AT34" i="27"/>
  <c r="AS34" i="27"/>
  <c r="AR34" i="27"/>
  <c r="AQ34" i="27"/>
  <c r="AP34" i="27"/>
  <c r="AO34" i="27"/>
  <c r="AN34" i="27"/>
  <c r="AM34" i="27"/>
  <c r="AL34" i="27"/>
  <c r="AK34" i="27"/>
  <c r="AJ34" i="27"/>
  <c r="AI34" i="27"/>
  <c r="AH34" i="27"/>
  <c r="C34" i="27"/>
  <c r="B34" i="27"/>
  <c r="A34" i="27"/>
  <c r="AT33" i="27"/>
  <c r="AS33" i="27"/>
  <c r="AR33" i="27"/>
  <c r="AQ33" i="27"/>
  <c r="AP33" i="27"/>
  <c r="AO33" i="27"/>
  <c r="AN33" i="27"/>
  <c r="AM33" i="27"/>
  <c r="AL33" i="27"/>
  <c r="AK33" i="27"/>
  <c r="AJ33" i="27"/>
  <c r="AI33" i="27"/>
  <c r="AH33" i="27"/>
  <c r="C33" i="27"/>
  <c r="B33" i="27"/>
  <c r="A33" i="27"/>
  <c r="C32" i="27"/>
  <c r="B32" i="27"/>
  <c r="A32" i="27"/>
  <c r="AT31" i="27"/>
  <c r="AS31" i="27"/>
  <c r="AR31" i="27"/>
  <c r="AQ31" i="27"/>
  <c r="AP31" i="27"/>
  <c r="AO31" i="27"/>
  <c r="AN31" i="27"/>
  <c r="AM31" i="27"/>
  <c r="AL31" i="27"/>
  <c r="AK31" i="27"/>
  <c r="AJ31" i="27"/>
  <c r="AI31" i="27"/>
  <c r="AH31" i="27"/>
  <c r="C31" i="27"/>
  <c r="B31" i="27"/>
  <c r="A31" i="27"/>
  <c r="C30" i="27"/>
  <c r="B30" i="27"/>
  <c r="A30" i="27"/>
  <c r="AT29" i="27"/>
  <c r="AS29" i="27"/>
  <c r="AR29" i="27"/>
  <c r="AQ29" i="27"/>
  <c r="AP29" i="27"/>
  <c r="AO29" i="27"/>
  <c r="AN29" i="27"/>
  <c r="AM29" i="27"/>
  <c r="AL29" i="27"/>
  <c r="AK29" i="27"/>
  <c r="AJ29" i="27"/>
  <c r="AI29" i="27"/>
  <c r="AH29" i="27"/>
  <c r="C29" i="27"/>
  <c r="B29" i="27"/>
  <c r="A29" i="27"/>
  <c r="AT28" i="27"/>
  <c r="AS28" i="27"/>
  <c r="AR28" i="27"/>
  <c r="AQ28" i="27"/>
  <c r="AP28" i="27"/>
  <c r="AO28" i="27"/>
  <c r="AN28" i="27"/>
  <c r="AM28" i="27"/>
  <c r="AL28" i="27"/>
  <c r="AK28" i="27"/>
  <c r="AJ28" i="27"/>
  <c r="AI28" i="27"/>
  <c r="AH28" i="27"/>
  <c r="C28" i="27"/>
  <c r="B28" i="27"/>
  <c r="A28" i="27"/>
  <c r="AT27" i="27"/>
  <c r="AS27" i="27"/>
  <c r="AR27" i="27"/>
  <c r="AQ27" i="27"/>
  <c r="AP27" i="27"/>
  <c r="AO27" i="27"/>
  <c r="AN27" i="27"/>
  <c r="AM27" i="27"/>
  <c r="AL27" i="27"/>
  <c r="AK27" i="27"/>
  <c r="AJ27" i="27"/>
  <c r="AI27" i="27"/>
  <c r="AH27" i="27"/>
  <c r="C27" i="27"/>
  <c r="B27" i="27"/>
  <c r="A27" i="27"/>
  <c r="AT26" i="27"/>
  <c r="AS26" i="27"/>
  <c r="AR26" i="27"/>
  <c r="AQ26" i="27"/>
  <c r="AP26" i="27"/>
  <c r="AO26" i="27"/>
  <c r="AN26" i="27"/>
  <c r="AM26" i="27"/>
  <c r="AL26" i="27"/>
  <c r="AK26" i="27"/>
  <c r="AJ26" i="27"/>
  <c r="AI26" i="27"/>
  <c r="AH26" i="27"/>
  <c r="C26" i="27"/>
  <c r="B26" i="27"/>
  <c r="A26" i="27"/>
  <c r="C25" i="27"/>
  <c r="B25" i="27"/>
  <c r="A25" i="27"/>
  <c r="AT24" i="27"/>
  <c r="AS24" i="27"/>
  <c r="AR24" i="27"/>
  <c r="AQ24" i="27"/>
  <c r="AP24" i="27"/>
  <c r="AO24" i="27"/>
  <c r="AN24" i="27"/>
  <c r="AM24" i="27"/>
  <c r="AL24" i="27"/>
  <c r="AK24" i="27"/>
  <c r="AJ24" i="27"/>
  <c r="AI24" i="27"/>
  <c r="AH24" i="27"/>
  <c r="C24" i="27"/>
  <c r="B24" i="27"/>
  <c r="A24" i="27"/>
  <c r="AT23" i="27"/>
  <c r="AS23" i="27"/>
  <c r="AR23" i="27"/>
  <c r="AQ23" i="27"/>
  <c r="AP23" i="27"/>
  <c r="AO23" i="27"/>
  <c r="AN23" i="27"/>
  <c r="AM23" i="27"/>
  <c r="AL23" i="27"/>
  <c r="AK23" i="27"/>
  <c r="AJ23" i="27"/>
  <c r="AI23" i="27"/>
  <c r="AH23" i="27"/>
  <c r="C23" i="27"/>
  <c r="B23" i="27"/>
  <c r="A23" i="27"/>
  <c r="C22" i="27"/>
  <c r="B22" i="27"/>
  <c r="A22" i="27"/>
  <c r="AT21" i="27"/>
  <c r="AS21" i="27"/>
  <c r="AR21" i="27"/>
  <c r="AQ21" i="27"/>
  <c r="AP21" i="27"/>
  <c r="AO21" i="27"/>
  <c r="AN21" i="27"/>
  <c r="AM21" i="27"/>
  <c r="AL21" i="27"/>
  <c r="AK21" i="27"/>
  <c r="AJ21" i="27"/>
  <c r="AI21" i="27"/>
  <c r="AH21" i="27"/>
  <c r="C21" i="27"/>
  <c r="B21" i="27"/>
  <c r="A21" i="27"/>
  <c r="C20" i="27"/>
  <c r="B20" i="27"/>
  <c r="A20" i="27"/>
  <c r="AT19" i="27"/>
  <c r="AS19" i="27"/>
  <c r="AR19" i="27"/>
  <c r="AQ19" i="27"/>
  <c r="AP19" i="27"/>
  <c r="AO19" i="27"/>
  <c r="AN19" i="27"/>
  <c r="AM19" i="27"/>
  <c r="AL19" i="27"/>
  <c r="AK19" i="27"/>
  <c r="AJ19" i="27"/>
  <c r="AI19" i="27"/>
  <c r="AH19" i="27"/>
  <c r="C19" i="27"/>
  <c r="B19" i="27"/>
  <c r="A19" i="27"/>
  <c r="C18" i="27"/>
  <c r="B18" i="27"/>
  <c r="A18" i="27"/>
  <c r="AT17" i="27"/>
  <c r="AS17" i="27"/>
  <c r="AR17" i="27"/>
  <c r="AQ17" i="27"/>
  <c r="AP17" i="27"/>
  <c r="AO17" i="27"/>
  <c r="AN17" i="27"/>
  <c r="AM17" i="27"/>
  <c r="AL17" i="27"/>
  <c r="AK17" i="27"/>
  <c r="AJ17" i="27"/>
  <c r="AI17" i="27"/>
  <c r="AH17" i="27"/>
  <c r="C17" i="27"/>
  <c r="B17" i="27"/>
  <c r="A17" i="27"/>
  <c r="C16" i="27"/>
  <c r="B16" i="27"/>
  <c r="A16" i="27"/>
  <c r="C15" i="27"/>
  <c r="B15" i="27"/>
  <c r="A15" i="27"/>
  <c r="AT14" i="27"/>
  <c r="AS14" i="27"/>
  <c r="AR14" i="27"/>
  <c r="AQ14" i="27"/>
  <c r="AP14" i="27"/>
  <c r="AO14" i="27"/>
  <c r="AN14" i="27"/>
  <c r="AM14" i="27"/>
  <c r="AL14" i="27"/>
  <c r="AK14" i="27"/>
  <c r="AJ14" i="27"/>
  <c r="AI14" i="27"/>
  <c r="AH14" i="27"/>
  <c r="C14" i="27"/>
  <c r="B14" i="27"/>
  <c r="A14" i="27"/>
  <c r="C13" i="27"/>
  <c r="B13" i="27"/>
  <c r="A13" i="27"/>
  <c r="AT12" i="27"/>
  <c r="AS12" i="27"/>
  <c r="AR12" i="27"/>
  <c r="AQ12" i="27"/>
  <c r="AP12" i="27"/>
  <c r="AO12" i="27"/>
  <c r="AN12" i="27"/>
  <c r="AM12" i="27"/>
  <c r="AL12" i="27"/>
  <c r="AK12" i="27"/>
  <c r="AJ12" i="27"/>
  <c r="AI12" i="27"/>
  <c r="AH12" i="27"/>
  <c r="C12" i="27"/>
  <c r="B12" i="27"/>
  <c r="A12" i="27"/>
  <c r="C11" i="27"/>
  <c r="B11" i="27"/>
  <c r="A11" i="27"/>
  <c r="AH106" i="26"/>
  <c r="AG106" i="26"/>
  <c r="AF106" i="26"/>
  <c r="AE106" i="26"/>
  <c r="AD106" i="26"/>
  <c r="AC106" i="26"/>
  <c r="AB106" i="26"/>
  <c r="AA106" i="26"/>
  <c r="Z106" i="26"/>
  <c r="Y106" i="26"/>
  <c r="X106" i="26"/>
  <c r="W106" i="26"/>
  <c r="O106" i="26"/>
  <c r="N106" i="26"/>
  <c r="M106" i="26"/>
  <c r="L106" i="26"/>
  <c r="K106" i="26"/>
  <c r="J106" i="26"/>
  <c r="I106" i="26"/>
  <c r="H106" i="26"/>
  <c r="G106" i="26"/>
  <c r="F106" i="26"/>
  <c r="E106" i="26"/>
  <c r="D106" i="26"/>
  <c r="AH84" i="26"/>
  <c r="AG84" i="26"/>
  <c r="AF84" i="26"/>
  <c r="AE84" i="26"/>
  <c r="AD84" i="26"/>
  <c r="AC84" i="26"/>
  <c r="AB84" i="26"/>
  <c r="AA84" i="26"/>
  <c r="Z84" i="26"/>
  <c r="Y84" i="26"/>
  <c r="X84" i="26"/>
  <c r="W84" i="26"/>
  <c r="P84" i="26"/>
  <c r="O84" i="26"/>
  <c r="N84" i="26"/>
  <c r="M84" i="26"/>
  <c r="L84" i="26"/>
  <c r="K84" i="26"/>
  <c r="J84" i="26"/>
  <c r="I84" i="26"/>
  <c r="H84" i="26"/>
  <c r="G84" i="26"/>
  <c r="F84" i="26"/>
  <c r="E84" i="26"/>
  <c r="D84" i="26"/>
  <c r="AU80" i="26"/>
  <c r="AT80" i="26"/>
  <c r="AS80" i="26"/>
  <c r="AR80" i="26"/>
  <c r="AQ80" i="26"/>
  <c r="AP80" i="26"/>
  <c r="AO80" i="26"/>
  <c r="AN80" i="26"/>
  <c r="AM80" i="26"/>
  <c r="AL80" i="26"/>
  <c r="AK80" i="26"/>
  <c r="AJ80" i="26"/>
  <c r="AI80" i="26"/>
  <c r="C80" i="26"/>
  <c r="B80" i="26"/>
  <c r="A80" i="26"/>
  <c r="AU79" i="26"/>
  <c r="AT79" i="26"/>
  <c r="AS79" i="26"/>
  <c r="AR79" i="26"/>
  <c r="AQ79" i="26"/>
  <c r="AP79" i="26"/>
  <c r="AO79" i="26"/>
  <c r="AN79" i="26"/>
  <c r="AM79" i="26"/>
  <c r="AL79" i="26"/>
  <c r="AK79" i="26"/>
  <c r="AJ79" i="26"/>
  <c r="AI79" i="26"/>
  <c r="C79" i="26"/>
  <c r="B79" i="26"/>
  <c r="A79" i="26"/>
  <c r="C78" i="26"/>
  <c r="B78" i="26"/>
  <c r="A78" i="26"/>
  <c r="AU77" i="26"/>
  <c r="AT77" i="26"/>
  <c r="AS77" i="26"/>
  <c r="AR77" i="26"/>
  <c r="AQ77" i="26"/>
  <c r="AP77" i="26"/>
  <c r="AO77" i="26"/>
  <c r="AN77" i="26"/>
  <c r="AM77" i="26"/>
  <c r="AL77" i="26"/>
  <c r="AK77" i="26"/>
  <c r="AJ77" i="26"/>
  <c r="AI77" i="26"/>
  <c r="C77" i="26"/>
  <c r="B77" i="26"/>
  <c r="A77" i="26"/>
  <c r="AU76" i="26"/>
  <c r="AT76" i="26"/>
  <c r="AS76" i="26"/>
  <c r="AR76" i="26"/>
  <c r="AQ76" i="26"/>
  <c r="AP76" i="26"/>
  <c r="AO76" i="26"/>
  <c r="AN76" i="26"/>
  <c r="AM76" i="26"/>
  <c r="AL76" i="26"/>
  <c r="AK76" i="26"/>
  <c r="AJ76" i="26"/>
  <c r="AI76" i="26"/>
  <c r="C76" i="26"/>
  <c r="B76" i="26"/>
  <c r="A76" i="26"/>
  <c r="C75" i="26"/>
  <c r="B75" i="26"/>
  <c r="A75" i="26"/>
  <c r="AF74" i="26"/>
  <c r="AC74" i="26"/>
  <c r="W74" i="26"/>
  <c r="H74" i="26"/>
  <c r="G74" i="26"/>
  <c r="E74" i="26"/>
  <c r="C74" i="26"/>
  <c r="B74" i="26"/>
  <c r="A74" i="26"/>
  <c r="AH73" i="26"/>
  <c r="AG73" i="26"/>
  <c r="AF73" i="26"/>
  <c r="AE73" i="26"/>
  <c r="AD73" i="26"/>
  <c r="AC73" i="26"/>
  <c r="AB73" i="26"/>
  <c r="AA73" i="26"/>
  <c r="Z73" i="26"/>
  <c r="Y73" i="26"/>
  <c r="X73" i="26"/>
  <c r="W73" i="26"/>
  <c r="V73" i="26"/>
  <c r="U73" i="26"/>
  <c r="T73" i="26"/>
  <c r="S73" i="26"/>
  <c r="R73" i="26"/>
  <c r="Q73" i="26"/>
  <c r="P73" i="26"/>
  <c r="O73" i="26"/>
  <c r="N73" i="26"/>
  <c r="M73" i="26"/>
  <c r="L73" i="26"/>
  <c r="K73" i="26"/>
  <c r="J73" i="26"/>
  <c r="I73" i="26"/>
  <c r="H73" i="26"/>
  <c r="G73" i="26"/>
  <c r="F73" i="26"/>
  <c r="E73" i="26"/>
  <c r="D73" i="26"/>
  <c r="C73" i="26"/>
  <c r="B73" i="26"/>
  <c r="A73" i="26"/>
  <c r="AU72" i="26"/>
  <c r="AT72" i="26"/>
  <c r="AS72" i="26"/>
  <c r="AR72" i="26"/>
  <c r="AQ72" i="26"/>
  <c r="AP72" i="26"/>
  <c r="AO72" i="26"/>
  <c r="AN72" i="26"/>
  <c r="AM72" i="26"/>
  <c r="AL72" i="26"/>
  <c r="AK72" i="26"/>
  <c r="AJ72" i="26"/>
  <c r="AI72" i="26"/>
  <c r="C72" i="26"/>
  <c r="B72" i="26"/>
  <c r="A72" i="26"/>
  <c r="AU71" i="26"/>
  <c r="AT71" i="26"/>
  <c r="AS71" i="26"/>
  <c r="AR71" i="26"/>
  <c r="AQ71" i="26"/>
  <c r="AP71" i="26"/>
  <c r="AO71" i="26"/>
  <c r="AN71" i="26"/>
  <c r="AM71" i="26"/>
  <c r="AL71" i="26"/>
  <c r="AK71" i="26"/>
  <c r="AJ71" i="26"/>
  <c r="AI71" i="26"/>
  <c r="C71" i="26"/>
  <c r="B71" i="26"/>
  <c r="A71" i="26"/>
  <c r="AU70" i="26"/>
  <c r="AT70" i="26"/>
  <c r="AS70" i="26"/>
  <c r="AR70" i="26"/>
  <c r="AQ70" i="26"/>
  <c r="AP70" i="26"/>
  <c r="AO70" i="26"/>
  <c r="AN70" i="26"/>
  <c r="AM70" i="26"/>
  <c r="AL70" i="26"/>
  <c r="AK70" i="26"/>
  <c r="AJ70" i="26"/>
  <c r="AI70" i="26"/>
  <c r="C70" i="26"/>
  <c r="B70" i="26"/>
  <c r="A70" i="26"/>
  <c r="AU69" i="26"/>
  <c r="AT69" i="26"/>
  <c r="AS69" i="26"/>
  <c r="AR69" i="26"/>
  <c r="AQ69" i="26"/>
  <c r="AP69" i="26"/>
  <c r="AO69" i="26"/>
  <c r="AN69" i="26"/>
  <c r="AM69" i="26"/>
  <c r="AL69" i="26"/>
  <c r="AK69" i="26"/>
  <c r="AJ69" i="26"/>
  <c r="AI69" i="26"/>
  <c r="C69" i="26"/>
  <c r="B69" i="26"/>
  <c r="A69" i="26"/>
  <c r="AU68" i="26"/>
  <c r="AT68" i="26"/>
  <c r="AS68" i="26"/>
  <c r="AR68" i="26"/>
  <c r="AQ68" i="26"/>
  <c r="AP68" i="26"/>
  <c r="AO68" i="26"/>
  <c r="AN68" i="26"/>
  <c r="AM68" i="26"/>
  <c r="AL68" i="26"/>
  <c r="AK68" i="26"/>
  <c r="AJ68" i="26"/>
  <c r="AI68" i="26"/>
  <c r="C68" i="26"/>
  <c r="B68" i="26"/>
  <c r="A68" i="26"/>
  <c r="AU67" i="26"/>
  <c r="AT67" i="26"/>
  <c r="AS67" i="26"/>
  <c r="AR67" i="26"/>
  <c r="AQ67" i="26"/>
  <c r="AP67" i="26"/>
  <c r="AO67" i="26"/>
  <c r="AN67" i="26"/>
  <c r="AM67" i="26"/>
  <c r="AL67" i="26"/>
  <c r="AK67" i="26"/>
  <c r="AJ67" i="26"/>
  <c r="AI67" i="26"/>
  <c r="C67" i="26"/>
  <c r="B67" i="26"/>
  <c r="A67" i="26"/>
  <c r="AU66" i="26"/>
  <c r="AT66" i="26"/>
  <c r="AS66" i="26"/>
  <c r="AR66" i="26"/>
  <c r="AQ66" i="26"/>
  <c r="AP66" i="26"/>
  <c r="AO66" i="26"/>
  <c r="AN66" i="26"/>
  <c r="AM66" i="26"/>
  <c r="AL66" i="26"/>
  <c r="AK66" i="26"/>
  <c r="AJ66" i="26"/>
  <c r="AI66" i="26"/>
  <c r="C66" i="26"/>
  <c r="B66" i="26"/>
  <c r="A66" i="26"/>
  <c r="AU65" i="26"/>
  <c r="AT65" i="26"/>
  <c r="AS65" i="26"/>
  <c r="AR65" i="26"/>
  <c r="AQ65" i="26"/>
  <c r="AP65" i="26"/>
  <c r="AO65" i="26"/>
  <c r="AN65" i="26"/>
  <c r="AM65" i="26"/>
  <c r="AL65" i="26"/>
  <c r="AK65" i="26"/>
  <c r="AJ65" i="26"/>
  <c r="AI65" i="26"/>
  <c r="C65" i="26"/>
  <c r="B65" i="26"/>
  <c r="A65" i="26"/>
  <c r="AU64" i="26"/>
  <c r="AT64" i="26"/>
  <c r="AS64" i="26"/>
  <c r="AR64" i="26"/>
  <c r="AQ64" i="26"/>
  <c r="AP64" i="26"/>
  <c r="AO64" i="26"/>
  <c r="AN64" i="26"/>
  <c r="AM64" i="26"/>
  <c r="AL64" i="26"/>
  <c r="AK64" i="26"/>
  <c r="AJ64" i="26"/>
  <c r="AI64" i="26"/>
  <c r="C64" i="26"/>
  <c r="B64" i="26"/>
  <c r="A64" i="26"/>
  <c r="AU63" i="26"/>
  <c r="AT63" i="26"/>
  <c r="AS63" i="26"/>
  <c r="AR63" i="26"/>
  <c r="AQ63" i="26"/>
  <c r="AP63" i="26"/>
  <c r="AO63" i="26"/>
  <c r="AN63" i="26"/>
  <c r="AM63" i="26"/>
  <c r="AL63" i="26"/>
  <c r="AK63" i="26"/>
  <c r="AJ63" i="26"/>
  <c r="AI63" i="26"/>
  <c r="C63" i="26"/>
  <c r="B63" i="26"/>
  <c r="A63" i="26"/>
  <c r="AU62" i="26"/>
  <c r="AT62" i="26"/>
  <c r="AS62" i="26"/>
  <c r="AR62" i="26"/>
  <c r="AQ62" i="26"/>
  <c r="AP62" i="26"/>
  <c r="AO62" i="26"/>
  <c r="AN62" i="26"/>
  <c r="AM62" i="26"/>
  <c r="AL62" i="26"/>
  <c r="AK62" i="26"/>
  <c r="AJ62" i="26"/>
  <c r="AI62" i="26"/>
  <c r="C62" i="26"/>
  <c r="B62" i="26"/>
  <c r="A62" i="26"/>
  <c r="C61" i="26"/>
  <c r="B61" i="26"/>
  <c r="A61" i="26"/>
  <c r="AH60" i="26"/>
  <c r="AH74" i="26" s="1"/>
  <c r="AG60" i="26"/>
  <c r="AG74" i="26" s="1"/>
  <c r="AF60" i="26"/>
  <c r="AE60" i="26"/>
  <c r="AE74" i="26" s="1"/>
  <c r="AD60" i="26"/>
  <c r="AD74" i="26" s="1"/>
  <c r="AC60" i="26"/>
  <c r="AB60" i="26"/>
  <c r="AB74" i="26" s="1"/>
  <c r="AA60" i="26"/>
  <c r="AA74" i="26" s="1"/>
  <c r="Z60" i="26"/>
  <c r="Z74" i="26" s="1"/>
  <c r="Y60" i="26"/>
  <c r="Y74" i="26" s="1"/>
  <c r="X60" i="26"/>
  <c r="X74" i="26" s="1"/>
  <c r="W60" i="26"/>
  <c r="V60" i="26"/>
  <c r="V74" i="26" s="1"/>
  <c r="U60" i="26"/>
  <c r="U74" i="26" s="1"/>
  <c r="T60" i="26"/>
  <c r="T74" i="26" s="1"/>
  <c r="S60" i="26"/>
  <c r="S74" i="26" s="1"/>
  <c r="R60" i="26"/>
  <c r="R74" i="26" s="1"/>
  <c r="Q60" i="26"/>
  <c r="Q74" i="26" s="1"/>
  <c r="P60" i="26"/>
  <c r="P74" i="26" s="1"/>
  <c r="O60" i="26"/>
  <c r="O74" i="26" s="1"/>
  <c r="N60" i="26"/>
  <c r="N74" i="26" s="1"/>
  <c r="M60" i="26"/>
  <c r="M74" i="26" s="1"/>
  <c r="L60" i="26"/>
  <c r="L74" i="26" s="1"/>
  <c r="K60" i="26"/>
  <c r="K74" i="26" s="1"/>
  <c r="J60" i="26"/>
  <c r="J74" i="26" s="1"/>
  <c r="I60" i="26"/>
  <c r="I74" i="26" s="1"/>
  <c r="H60" i="26"/>
  <c r="G60" i="26"/>
  <c r="F60" i="26"/>
  <c r="F74" i="26" s="1"/>
  <c r="E60" i="26"/>
  <c r="D60" i="26"/>
  <c r="D74" i="26" s="1"/>
  <c r="C60" i="26"/>
  <c r="B60" i="26"/>
  <c r="A60" i="26"/>
  <c r="AU59" i="26"/>
  <c r="AT59" i="26"/>
  <c r="AS59" i="26"/>
  <c r="AR59" i="26"/>
  <c r="AQ59" i="26"/>
  <c r="AP59" i="26"/>
  <c r="AO59" i="26"/>
  <c r="AN59" i="26"/>
  <c r="AM59" i="26"/>
  <c r="AL59" i="26"/>
  <c r="AK59" i="26"/>
  <c r="AJ59" i="26"/>
  <c r="AI59" i="26"/>
  <c r="C59" i="26"/>
  <c r="B59" i="26"/>
  <c r="A59" i="26"/>
  <c r="AU58" i="26"/>
  <c r="AT58" i="26"/>
  <c r="AS58" i="26"/>
  <c r="AR58" i="26"/>
  <c r="AQ58" i="26"/>
  <c r="AP58" i="26"/>
  <c r="AO58" i="26"/>
  <c r="AN58" i="26"/>
  <c r="AM58" i="26"/>
  <c r="AL58" i="26"/>
  <c r="AK58" i="26"/>
  <c r="AJ58" i="26"/>
  <c r="AI58" i="26"/>
  <c r="C58" i="26"/>
  <c r="B58" i="26"/>
  <c r="A58" i="26"/>
  <c r="AU57" i="26"/>
  <c r="AT57" i="26"/>
  <c r="AS57" i="26"/>
  <c r="AR57" i="26"/>
  <c r="AQ57" i="26"/>
  <c r="AP57" i="26"/>
  <c r="AO57" i="26"/>
  <c r="AN57" i="26"/>
  <c r="AM57" i="26"/>
  <c r="AL57" i="26"/>
  <c r="AK57" i="26"/>
  <c r="AJ57" i="26"/>
  <c r="AI57" i="26"/>
  <c r="C57" i="26"/>
  <c r="B57" i="26"/>
  <c r="A57" i="26"/>
  <c r="AU56" i="26"/>
  <c r="AT56" i="26"/>
  <c r="AS56" i="26"/>
  <c r="AR56" i="26"/>
  <c r="AQ56" i="26"/>
  <c r="AP56" i="26"/>
  <c r="AO56" i="26"/>
  <c r="AN56" i="26"/>
  <c r="AM56" i="26"/>
  <c r="AL56" i="26"/>
  <c r="AK56" i="26"/>
  <c r="AJ56" i="26"/>
  <c r="AI56" i="26"/>
  <c r="C56" i="26"/>
  <c r="B56" i="26"/>
  <c r="A56" i="26"/>
  <c r="AU55" i="26"/>
  <c r="AT55" i="26"/>
  <c r="AS55" i="26"/>
  <c r="AR55" i="26"/>
  <c r="AQ55" i="26"/>
  <c r="AP55" i="26"/>
  <c r="AO55" i="26"/>
  <c r="AN55" i="26"/>
  <c r="AM55" i="26"/>
  <c r="AL55" i="26"/>
  <c r="AK55" i="26"/>
  <c r="AJ55" i="26"/>
  <c r="AI55" i="26"/>
  <c r="C55" i="26"/>
  <c r="B55" i="26"/>
  <c r="A55" i="26"/>
  <c r="AU54" i="26"/>
  <c r="AT54" i="26"/>
  <c r="AS54" i="26"/>
  <c r="AR54" i="26"/>
  <c r="AQ54" i="26"/>
  <c r="AP54" i="26"/>
  <c r="AO54" i="26"/>
  <c r="AN54" i="26"/>
  <c r="AM54" i="26"/>
  <c r="AL54" i="26"/>
  <c r="AK54" i="26"/>
  <c r="AJ54" i="26"/>
  <c r="AI54" i="26"/>
  <c r="C54" i="26"/>
  <c r="B54" i="26"/>
  <c r="A54" i="26"/>
  <c r="AU53" i="26"/>
  <c r="AT53" i="26"/>
  <c r="AS53" i="26"/>
  <c r="AR53" i="26"/>
  <c r="AQ53" i="26"/>
  <c r="AP53" i="26"/>
  <c r="AO53" i="26"/>
  <c r="AN53" i="26"/>
  <c r="AM53" i="26"/>
  <c r="AL53" i="26"/>
  <c r="AK53" i="26"/>
  <c r="AJ53" i="26"/>
  <c r="AI53" i="26"/>
  <c r="C53" i="26"/>
  <c r="B53" i="26"/>
  <c r="A53" i="26"/>
  <c r="AU52" i="26"/>
  <c r="AT52" i="26"/>
  <c r="AS52" i="26"/>
  <c r="AR52" i="26"/>
  <c r="AQ52" i="26"/>
  <c r="AP52" i="26"/>
  <c r="AO52" i="26"/>
  <c r="AN52" i="26"/>
  <c r="AM52" i="26"/>
  <c r="AL52" i="26"/>
  <c r="AK52" i="26"/>
  <c r="AJ52" i="26"/>
  <c r="AI52" i="26"/>
  <c r="C52" i="26"/>
  <c r="B52" i="26"/>
  <c r="A52" i="26"/>
  <c r="AU51" i="26"/>
  <c r="AT51" i="26"/>
  <c r="AS51" i="26"/>
  <c r="AR51" i="26"/>
  <c r="AQ51" i="26"/>
  <c r="AP51" i="26"/>
  <c r="AO51" i="26"/>
  <c r="AN51" i="26"/>
  <c r="AM51" i="26"/>
  <c r="AL51" i="26"/>
  <c r="AK51" i="26"/>
  <c r="AJ51" i="26"/>
  <c r="AI51" i="26"/>
  <c r="C51" i="26"/>
  <c r="B51" i="26"/>
  <c r="A51" i="26"/>
  <c r="AU50" i="26"/>
  <c r="AT50" i="26"/>
  <c r="AS50" i="26"/>
  <c r="AR50" i="26"/>
  <c r="AQ50" i="26"/>
  <c r="AP50" i="26"/>
  <c r="AO50" i="26"/>
  <c r="AN50" i="26"/>
  <c r="AM50" i="26"/>
  <c r="AL50" i="26"/>
  <c r="AK50" i="26"/>
  <c r="AJ50" i="26"/>
  <c r="AI50" i="26"/>
  <c r="C50" i="26"/>
  <c r="B50" i="26"/>
  <c r="A50" i="26"/>
  <c r="C49" i="26"/>
  <c r="B49" i="26"/>
  <c r="A49" i="26"/>
  <c r="AU48" i="26"/>
  <c r="AT48" i="26"/>
  <c r="AS48" i="26"/>
  <c r="AR48" i="26"/>
  <c r="AQ48" i="26"/>
  <c r="AP48" i="26"/>
  <c r="AO48" i="26"/>
  <c r="AN48" i="26"/>
  <c r="AM48" i="26"/>
  <c r="AL48" i="26"/>
  <c r="AK48" i="26"/>
  <c r="AJ48" i="26"/>
  <c r="AI48" i="26"/>
  <c r="C48" i="26"/>
  <c r="B48" i="26"/>
  <c r="A48" i="26"/>
  <c r="AU47" i="26"/>
  <c r="AT47" i="26"/>
  <c r="AS47" i="26"/>
  <c r="AR47" i="26"/>
  <c r="AQ47" i="26"/>
  <c r="AP47" i="26"/>
  <c r="AO47" i="26"/>
  <c r="AN47" i="26"/>
  <c r="AM47" i="26"/>
  <c r="AL47" i="26"/>
  <c r="AK47" i="26"/>
  <c r="AJ47" i="26"/>
  <c r="AI47" i="26"/>
  <c r="C47" i="26"/>
  <c r="B47" i="26"/>
  <c r="A47" i="26"/>
  <c r="C46" i="26"/>
  <c r="B46" i="26"/>
  <c r="A46" i="26"/>
  <c r="AU45" i="26"/>
  <c r="AT45" i="26"/>
  <c r="AS45" i="26"/>
  <c r="AR45" i="26"/>
  <c r="AQ45" i="26"/>
  <c r="AP45" i="26"/>
  <c r="AO45" i="26"/>
  <c r="AN45" i="26"/>
  <c r="AM45" i="26"/>
  <c r="AL45" i="26"/>
  <c r="AK45" i="26"/>
  <c r="AJ45" i="26"/>
  <c r="AI45" i="26"/>
  <c r="C45" i="26"/>
  <c r="B45" i="26"/>
  <c r="A45" i="26"/>
  <c r="AU44" i="26"/>
  <c r="AT44" i="26"/>
  <c r="AS44" i="26"/>
  <c r="AR44" i="26"/>
  <c r="AQ44" i="26"/>
  <c r="AP44" i="26"/>
  <c r="AO44" i="26"/>
  <c r="AN44" i="26"/>
  <c r="AM44" i="26"/>
  <c r="AL44" i="26"/>
  <c r="AK44" i="26"/>
  <c r="AJ44" i="26"/>
  <c r="AI44" i="26"/>
  <c r="C44" i="26"/>
  <c r="B44" i="26"/>
  <c r="A44" i="26"/>
  <c r="C43" i="26"/>
  <c r="B43" i="26"/>
  <c r="A43" i="26"/>
  <c r="AU42" i="26"/>
  <c r="AT42" i="26"/>
  <c r="AS42" i="26"/>
  <c r="AR42" i="26"/>
  <c r="AQ42" i="26"/>
  <c r="AP42" i="26"/>
  <c r="AO42" i="26"/>
  <c r="AN42" i="26"/>
  <c r="AM42" i="26"/>
  <c r="AL42" i="26"/>
  <c r="AK42" i="26"/>
  <c r="AJ42" i="26"/>
  <c r="AI42" i="26"/>
  <c r="C42" i="26"/>
  <c r="B42" i="26"/>
  <c r="A42" i="26"/>
  <c r="C41" i="26"/>
  <c r="B41" i="26"/>
  <c r="A41" i="26"/>
  <c r="AU40" i="26"/>
  <c r="AT40" i="26"/>
  <c r="AS40" i="26"/>
  <c r="AR40" i="26"/>
  <c r="AQ40" i="26"/>
  <c r="AP40" i="26"/>
  <c r="AO40" i="26"/>
  <c r="AN40" i="26"/>
  <c r="AM40" i="26"/>
  <c r="AL40" i="26"/>
  <c r="AK40" i="26"/>
  <c r="AJ40" i="26"/>
  <c r="AI40" i="26"/>
  <c r="C40" i="26"/>
  <c r="B40" i="26"/>
  <c r="A40" i="26"/>
  <c r="C39" i="26"/>
  <c r="B39" i="26"/>
  <c r="A39" i="26"/>
  <c r="C38" i="26"/>
  <c r="B38" i="26"/>
  <c r="A38" i="26"/>
  <c r="AH37" i="26"/>
  <c r="AG37" i="26"/>
  <c r="AF37" i="26"/>
  <c r="AE37" i="26"/>
  <c r="AD37" i="26"/>
  <c r="AC37" i="26"/>
  <c r="AB37" i="26"/>
  <c r="AA37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I37" i="26"/>
  <c r="H37" i="26"/>
  <c r="G37" i="26"/>
  <c r="F37" i="26"/>
  <c r="E37" i="26"/>
  <c r="D37" i="26"/>
  <c r="C37" i="26"/>
  <c r="B37" i="26"/>
  <c r="A37" i="26"/>
  <c r="AU36" i="26"/>
  <c r="AT36" i="26"/>
  <c r="AS36" i="26"/>
  <c r="AR36" i="26"/>
  <c r="AQ36" i="26"/>
  <c r="AP36" i="26"/>
  <c r="AO36" i="26"/>
  <c r="AN36" i="26"/>
  <c r="AM36" i="26"/>
  <c r="AL36" i="26"/>
  <c r="AK36" i="26"/>
  <c r="AJ36" i="26"/>
  <c r="AI36" i="26"/>
  <c r="C36" i="26"/>
  <c r="B36" i="26"/>
  <c r="A36" i="26"/>
  <c r="C35" i="26"/>
  <c r="B35" i="26"/>
  <c r="A35" i="26"/>
  <c r="AU34" i="26"/>
  <c r="AT34" i="26"/>
  <c r="AS34" i="26"/>
  <c r="AR34" i="26"/>
  <c r="AQ34" i="26"/>
  <c r="AP34" i="26"/>
  <c r="AO34" i="26"/>
  <c r="AN34" i="26"/>
  <c r="AM34" i="26"/>
  <c r="AL34" i="26"/>
  <c r="AK34" i="26"/>
  <c r="AJ34" i="26"/>
  <c r="AI34" i="26"/>
  <c r="C34" i="26"/>
  <c r="B34" i="26"/>
  <c r="A34" i="26"/>
  <c r="AU33" i="26"/>
  <c r="AT33" i="26"/>
  <c r="AS33" i="26"/>
  <c r="AR33" i="26"/>
  <c r="AQ33" i="26"/>
  <c r="AP33" i="26"/>
  <c r="AO33" i="26"/>
  <c r="AN33" i="26"/>
  <c r="AM33" i="26"/>
  <c r="AL33" i="26"/>
  <c r="AK33" i="26"/>
  <c r="AJ33" i="26"/>
  <c r="AI33" i="26"/>
  <c r="C33" i="26"/>
  <c r="B33" i="26"/>
  <c r="A33" i="26"/>
  <c r="C32" i="26"/>
  <c r="B32" i="26"/>
  <c r="A32" i="26"/>
  <c r="AU31" i="26"/>
  <c r="AT31" i="26"/>
  <c r="AS31" i="26"/>
  <c r="AR31" i="26"/>
  <c r="AQ31" i="26"/>
  <c r="AP31" i="26"/>
  <c r="AO31" i="26"/>
  <c r="AN31" i="26"/>
  <c r="AM31" i="26"/>
  <c r="AL31" i="26"/>
  <c r="AK31" i="26"/>
  <c r="AJ31" i="26"/>
  <c r="AI31" i="26"/>
  <c r="C31" i="26"/>
  <c r="B31" i="26"/>
  <c r="A31" i="26"/>
  <c r="C30" i="26"/>
  <c r="B30" i="26"/>
  <c r="A30" i="26"/>
  <c r="AU29" i="26"/>
  <c r="AT29" i="26"/>
  <c r="AS29" i="26"/>
  <c r="AR29" i="26"/>
  <c r="AQ29" i="26"/>
  <c r="AP29" i="26"/>
  <c r="AO29" i="26"/>
  <c r="AN29" i="26"/>
  <c r="AM29" i="26"/>
  <c r="AL29" i="26"/>
  <c r="AK29" i="26"/>
  <c r="AJ29" i="26"/>
  <c r="AI29" i="26"/>
  <c r="C29" i="26"/>
  <c r="B29" i="26"/>
  <c r="A29" i="26"/>
  <c r="AU28" i="26"/>
  <c r="AT28" i="26"/>
  <c r="AS28" i="26"/>
  <c r="AR28" i="26"/>
  <c r="AQ28" i="26"/>
  <c r="AP28" i="26"/>
  <c r="AO28" i="26"/>
  <c r="AN28" i="26"/>
  <c r="AM28" i="26"/>
  <c r="AL28" i="26"/>
  <c r="AK28" i="26"/>
  <c r="AJ28" i="26"/>
  <c r="AI28" i="26"/>
  <c r="C28" i="26"/>
  <c r="B28" i="26"/>
  <c r="A28" i="26"/>
  <c r="AU27" i="26"/>
  <c r="AT27" i="26"/>
  <c r="AS27" i="26"/>
  <c r="AR27" i="26"/>
  <c r="AQ27" i="26"/>
  <c r="AP27" i="26"/>
  <c r="AO27" i="26"/>
  <c r="AN27" i="26"/>
  <c r="AM27" i="26"/>
  <c r="AL27" i="26"/>
  <c r="AK27" i="26"/>
  <c r="AJ27" i="26"/>
  <c r="AI27" i="26"/>
  <c r="C27" i="26"/>
  <c r="B27" i="26"/>
  <c r="A27" i="26"/>
  <c r="AU26" i="26"/>
  <c r="AT26" i="26"/>
  <c r="AS26" i="26"/>
  <c r="AR26" i="26"/>
  <c r="AQ26" i="26"/>
  <c r="AP26" i="26"/>
  <c r="AO26" i="26"/>
  <c r="AN26" i="26"/>
  <c r="AM26" i="26"/>
  <c r="AL26" i="26"/>
  <c r="AK26" i="26"/>
  <c r="AJ26" i="26"/>
  <c r="AI26" i="26"/>
  <c r="C26" i="26"/>
  <c r="B26" i="26"/>
  <c r="A26" i="26"/>
  <c r="C25" i="26"/>
  <c r="B25" i="26"/>
  <c r="A25" i="26"/>
  <c r="AU24" i="26"/>
  <c r="AT24" i="26"/>
  <c r="AS24" i="26"/>
  <c r="AR24" i="26"/>
  <c r="AQ24" i="26"/>
  <c r="AP24" i="26"/>
  <c r="AO24" i="26"/>
  <c r="AN24" i="26"/>
  <c r="AM24" i="26"/>
  <c r="AL24" i="26"/>
  <c r="AK24" i="26"/>
  <c r="AJ24" i="26"/>
  <c r="AI24" i="26"/>
  <c r="C24" i="26"/>
  <c r="B24" i="26"/>
  <c r="A24" i="26"/>
  <c r="AU23" i="26"/>
  <c r="AT23" i="26"/>
  <c r="AS23" i="26"/>
  <c r="AR23" i="26"/>
  <c r="AQ23" i="26"/>
  <c r="AP23" i="26"/>
  <c r="AO23" i="26"/>
  <c r="AN23" i="26"/>
  <c r="AM23" i="26"/>
  <c r="AL23" i="26"/>
  <c r="AK23" i="26"/>
  <c r="AJ23" i="26"/>
  <c r="AI23" i="26"/>
  <c r="C23" i="26"/>
  <c r="B23" i="26"/>
  <c r="A23" i="26"/>
  <c r="C22" i="26"/>
  <c r="B22" i="26"/>
  <c r="A22" i="26"/>
  <c r="AU21" i="26"/>
  <c r="AT21" i="26"/>
  <c r="AS21" i="26"/>
  <c r="AR21" i="26"/>
  <c r="AQ21" i="26"/>
  <c r="AP21" i="26"/>
  <c r="AO21" i="26"/>
  <c r="AN21" i="26"/>
  <c r="AM21" i="26"/>
  <c r="AL21" i="26"/>
  <c r="AK21" i="26"/>
  <c r="AJ21" i="26"/>
  <c r="AI21" i="26"/>
  <c r="C21" i="26"/>
  <c r="B21" i="26"/>
  <c r="A21" i="26"/>
  <c r="C20" i="26"/>
  <c r="B20" i="26"/>
  <c r="A20" i="26"/>
  <c r="AU19" i="26"/>
  <c r="AT19" i="26"/>
  <c r="AS19" i="26"/>
  <c r="AR19" i="26"/>
  <c r="AQ19" i="26"/>
  <c r="AP19" i="26"/>
  <c r="AO19" i="26"/>
  <c r="AN19" i="26"/>
  <c r="AM19" i="26"/>
  <c r="AL19" i="26"/>
  <c r="AK19" i="26"/>
  <c r="AJ19" i="26"/>
  <c r="AI19" i="26"/>
  <c r="C19" i="26"/>
  <c r="B19" i="26"/>
  <c r="A19" i="26"/>
  <c r="C18" i="26"/>
  <c r="B18" i="26"/>
  <c r="A18" i="26"/>
  <c r="AU17" i="26"/>
  <c r="AT17" i="26"/>
  <c r="AS17" i="26"/>
  <c r="AR17" i="26"/>
  <c r="AQ17" i="26"/>
  <c r="AP17" i="26"/>
  <c r="AO17" i="26"/>
  <c r="AN17" i="26"/>
  <c r="AM17" i="26"/>
  <c r="AL17" i="26"/>
  <c r="AK17" i="26"/>
  <c r="AJ17" i="26"/>
  <c r="AI17" i="26"/>
  <c r="C17" i="26"/>
  <c r="B17" i="26"/>
  <c r="A17" i="26"/>
  <c r="C16" i="26"/>
  <c r="B16" i="26"/>
  <c r="A16" i="26"/>
  <c r="C15" i="26"/>
  <c r="B15" i="26"/>
  <c r="A15" i="26"/>
  <c r="AU14" i="26"/>
  <c r="AT14" i="26"/>
  <c r="AS14" i="26"/>
  <c r="AR14" i="26"/>
  <c r="AQ14" i="26"/>
  <c r="AP14" i="26"/>
  <c r="AO14" i="26"/>
  <c r="AN14" i="26"/>
  <c r="AM14" i="26"/>
  <c r="AL14" i="26"/>
  <c r="AK14" i="26"/>
  <c r="AJ14" i="26"/>
  <c r="AI14" i="26"/>
  <c r="C14" i="26"/>
  <c r="B14" i="26"/>
  <c r="A14" i="26"/>
  <c r="C13" i="26"/>
  <c r="B13" i="26"/>
  <c r="A13" i="26"/>
  <c r="AU12" i="26"/>
  <c r="AT12" i="26"/>
  <c r="AS12" i="26"/>
  <c r="AR12" i="26"/>
  <c r="AQ12" i="26"/>
  <c r="AP12" i="26"/>
  <c r="AO12" i="26"/>
  <c r="AN12" i="26"/>
  <c r="AM12" i="26"/>
  <c r="AL12" i="26"/>
  <c r="AK12" i="26"/>
  <c r="AJ12" i="26"/>
  <c r="AI12" i="26"/>
  <c r="C12" i="26"/>
  <c r="B12" i="26"/>
  <c r="A12" i="26"/>
  <c r="C11" i="26"/>
  <c r="B11" i="26"/>
  <c r="A11" i="26"/>
  <c r="AH106" i="25"/>
  <c r="AG106" i="25"/>
  <c r="AF106" i="25"/>
  <c r="AE106" i="25"/>
  <c r="AD106" i="25"/>
  <c r="AC106" i="25"/>
  <c r="AB106" i="25"/>
  <c r="AA106" i="25"/>
  <c r="Z106" i="25"/>
  <c r="Y106" i="25"/>
  <c r="X106" i="25"/>
  <c r="W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AH84" i="25"/>
  <c r="AG84" i="25"/>
  <c r="AF84" i="25"/>
  <c r="AE84" i="25"/>
  <c r="AD84" i="25"/>
  <c r="AC84" i="25"/>
  <c r="AB84" i="25"/>
  <c r="AA84" i="25"/>
  <c r="Z84" i="25"/>
  <c r="Y84" i="25"/>
  <c r="X84" i="25"/>
  <c r="W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AU80" i="25"/>
  <c r="AT80" i="25"/>
  <c r="AS80" i="25"/>
  <c r="AR80" i="25"/>
  <c r="AQ80" i="25"/>
  <c r="AP80" i="25"/>
  <c r="AO80" i="25"/>
  <c r="AN80" i="25"/>
  <c r="AM80" i="25"/>
  <c r="AL80" i="25"/>
  <c r="AK80" i="25"/>
  <c r="AJ80" i="25"/>
  <c r="AI80" i="25"/>
  <c r="C80" i="25"/>
  <c r="B80" i="25"/>
  <c r="A80" i="25"/>
  <c r="AU79" i="25"/>
  <c r="AT79" i="25"/>
  <c r="AS79" i="25"/>
  <c r="AR79" i="25"/>
  <c r="AQ79" i="25"/>
  <c r="AP79" i="25"/>
  <c r="AO79" i="25"/>
  <c r="AN79" i="25"/>
  <c r="AM79" i="25"/>
  <c r="AL79" i="25"/>
  <c r="AK79" i="25"/>
  <c r="AJ79" i="25"/>
  <c r="AI79" i="25"/>
  <c r="C79" i="25"/>
  <c r="B79" i="25"/>
  <c r="A79" i="25"/>
  <c r="C78" i="25"/>
  <c r="B78" i="25"/>
  <c r="A78" i="25"/>
  <c r="AU77" i="25"/>
  <c r="AT77" i="25"/>
  <c r="AS77" i="25"/>
  <c r="AR77" i="25"/>
  <c r="AQ77" i="25"/>
  <c r="AP77" i="25"/>
  <c r="AO77" i="25"/>
  <c r="AN77" i="25"/>
  <c r="AM77" i="25"/>
  <c r="AL77" i="25"/>
  <c r="AK77" i="25"/>
  <c r="AJ77" i="25"/>
  <c r="AI77" i="25"/>
  <c r="C77" i="25"/>
  <c r="B77" i="25"/>
  <c r="A77" i="25"/>
  <c r="AU76" i="25"/>
  <c r="AT76" i="25"/>
  <c r="AS76" i="25"/>
  <c r="AR76" i="25"/>
  <c r="AQ76" i="25"/>
  <c r="AP76" i="25"/>
  <c r="AO76" i="25"/>
  <c r="AN76" i="25"/>
  <c r="AM76" i="25"/>
  <c r="AL76" i="25"/>
  <c r="AK76" i="25"/>
  <c r="AJ76" i="25"/>
  <c r="AI76" i="25"/>
  <c r="C76" i="25"/>
  <c r="B76" i="25"/>
  <c r="A76" i="25"/>
  <c r="C75" i="25"/>
  <c r="B75" i="25"/>
  <c r="A75" i="25"/>
  <c r="AF74" i="25"/>
  <c r="AC74" i="25"/>
  <c r="AA74" i="25"/>
  <c r="Z74" i="25"/>
  <c r="X74" i="25"/>
  <c r="T74" i="25"/>
  <c r="Q74" i="25"/>
  <c r="O74" i="25"/>
  <c r="N74" i="25"/>
  <c r="K74" i="25"/>
  <c r="I74" i="25"/>
  <c r="H74" i="25"/>
  <c r="E74" i="25"/>
  <c r="C74" i="25"/>
  <c r="B74" i="25"/>
  <c r="A74" i="25"/>
  <c r="AH73" i="25"/>
  <c r="AG73" i="25"/>
  <c r="AF73" i="25"/>
  <c r="AE73" i="25"/>
  <c r="AD73" i="25"/>
  <c r="AC73" i="25"/>
  <c r="AB73" i="25"/>
  <c r="AA73" i="25"/>
  <c r="Z73" i="25"/>
  <c r="Y73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A73" i="25"/>
  <c r="AU72" i="25"/>
  <c r="AT72" i="25"/>
  <c r="AS72" i="25"/>
  <c r="AR72" i="25"/>
  <c r="AQ72" i="25"/>
  <c r="AP72" i="25"/>
  <c r="AO72" i="25"/>
  <c r="AN72" i="25"/>
  <c r="AM72" i="25"/>
  <c r="AL72" i="25"/>
  <c r="AK72" i="25"/>
  <c r="AJ72" i="25"/>
  <c r="AI72" i="25"/>
  <c r="C72" i="25"/>
  <c r="B72" i="25"/>
  <c r="A72" i="25"/>
  <c r="AU71" i="25"/>
  <c r="AT71" i="25"/>
  <c r="AS71" i="25"/>
  <c r="AR71" i="25"/>
  <c r="AQ71" i="25"/>
  <c r="AP71" i="25"/>
  <c r="AO71" i="25"/>
  <c r="AN71" i="25"/>
  <c r="AM71" i="25"/>
  <c r="AL71" i="25"/>
  <c r="AK71" i="25"/>
  <c r="AJ71" i="25"/>
  <c r="AI71" i="25"/>
  <c r="C71" i="25"/>
  <c r="B71" i="25"/>
  <c r="A71" i="25"/>
  <c r="AU70" i="25"/>
  <c r="AT70" i="25"/>
  <c r="AS70" i="25"/>
  <c r="AR70" i="25"/>
  <c r="AQ70" i="25"/>
  <c r="AP70" i="25"/>
  <c r="AO70" i="25"/>
  <c r="AN70" i="25"/>
  <c r="AM70" i="25"/>
  <c r="AL70" i="25"/>
  <c r="AK70" i="25"/>
  <c r="AJ70" i="25"/>
  <c r="AI70" i="25"/>
  <c r="C70" i="25"/>
  <c r="B70" i="25"/>
  <c r="A70" i="25"/>
  <c r="AU69" i="25"/>
  <c r="AT69" i="25"/>
  <c r="AS69" i="25"/>
  <c r="AR69" i="25"/>
  <c r="AQ69" i="25"/>
  <c r="AP69" i="25"/>
  <c r="AO69" i="25"/>
  <c r="AN69" i="25"/>
  <c r="AM69" i="25"/>
  <c r="AL69" i="25"/>
  <c r="AK69" i="25"/>
  <c r="AJ69" i="25"/>
  <c r="AI69" i="25"/>
  <c r="C69" i="25"/>
  <c r="B69" i="25"/>
  <c r="A69" i="25"/>
  <c r="AU68" i="25"/>
  <c r="AT68" i="25"/>
  <c r="AS68" i="25"/>
  <c r="AR68" i="25"/>
  <c r="AQ68" i="25"/>
  <c r="AP68" i="25"/>
  <c r="AO68" i="25"/>
  <c r="AN68" i="25"/>
  <c r="AM68" i="25"/>
  <c r="AL68" i="25"/>
  <c r="AK68" i="25"/>
  <c r="AJ68" i="25"/>
  <c r="AI68" i="25"/>
  <c r="C68" i="25"/>
  <c r="B68" i="25"/>
  <c r="A68" i="25"/>
  <c r="AU67" i="25"/>
  <c r="AT67" i="25"/>
  <c r="AS67" i="25"/>
  <c r="AR67" i="25"/>
  <c r="AQ67" i="25"/>
  <c r="AP67" i="25"/>
  <c r="AO67" i="25"/>
  <c r="AN67" i="25"/>
  <c r="AM67" i="25"/>
  <c r="AL67" i="25"/>
  <c r="AK67" i="25"/>
  <c r="AJ67" i="25"/>
  <c r="AI67" i="25"/>
  <c r="C67" i="25"/>
  <c r="B67" i="25"/>
  <c r="A67" i="25"/>
  <c r="AU66" i="25"/>
  <c r="AT66" i="25"/>
  <c r="AS66" i="25"/>
  <c r="AR66" i="25"/>
  <c r="AQ66" i="25"/>
  <c r="AP66" i="25"/>
  <c r="AO66" i="25"/>
  <c r="AN66" i="25"/>
  <c r="AM66" i="25"/>
  <c r="AL66" i="25"/>
  <c r="AK66" i="25"/>
  <c r="AJ66" i="25"/>
  <c r="AI66" i="25"/>
  <c r="C66" i="25"/>
  <c r="B66" i="25"/>
  <c r="A66" i="25"/>
  <c r="AU65" i="25"/>
  <c r="AT65" i="25"/>
  <c r="AS65" i="25"/>
  <c r="AR65" i="25"/>
  <c r="AQ65" i="25"/>
  <c r="AP65" i="25"/>
  <c r="AO65" i="25"/>
  <c r="AN65" i="25"/>
  <c r="AM65" i="25"/>
  <c r="AL65" i="25"/>
  <c r="AK65" i="25"/>
  <c r="AJ65" i="25"/>
  <c r="AI65" i="25"/>
  <c r="C65" i="25"/>
  <c r="B65" i="25"/>
  <c r="A65" i="25"/>
  <c r="AU64" i="25"/>
  <c r="AT64" i="25"/>
  <c r="AS64" i="25"/>
  <c r="AR64" i="25"/>
  <c r="AQ64" i="25"/>
  <c r="AP64" i="25"/>
  <c r="AO64" i="25"/>
  <c r="AN64" i="25"/>
  <c r="AM64" i="25"/>
  <c r="AL64" i="25"/>
  <c r="AK64" i="25"/>
  <c r="AJ64" i="25"/>
  <c r="AI64" i="25"/>
  <c r="C64" i="25"/>
  <c r="B64" i="25"/>
  <c r="A64" i="25"/>
  <c r="AU63" i="25"/>
  <c r="AT63" i="25"/>
  <c r="AS63" i="25"/>
  <c r="AR63" i="25"/>
  <c r="AQ63" i="25"/>
  <c r="AP63" i="25"/>
  <c r="AO63" i="25"/>
  <c r="AN63" i="25"/>
  <c r="AM63" i="25"/>
  <c r="AL63" i="25"/>
  <c r="AK63" i="25"/>
  <c r="AJ63" i="25"/>
  <c r="AI63" i="25"/>
  <c r="C63" i="25"/>
  <c r="B63" i="25"/>
  <c r="A63" i="25"/>
  <c r="AU62" i="25"/>
  <c r="AT62" i="25"/>
  <c r="AS62" i="25"/>
  <c r="AR62" i="25"/>
  <c r="AQ62" i="25"/>
  <c r="AP62" i="25"/>
  <c r="AO62" i="25"/>
  <c r="AN62" i="25"/>
  <c r="AM62" i="25"/>
  <c r="AL62" i="25"/>
  <c r="AK62" i="25"/>
  <c r="AJ62" i="25"/>
  <c r="AI62" i="25"/>
  <c r="C62" i="25"/>
  <c r="B62" i="25"/>
  <c r="A62" i="25"/>
  <c r="C61" i="25"/>
  <c r="B61" i="25"/>
  <c r="A61" i="25"/>
  <c r="AH60" i="25"/>
  <c r="AH74" i="25" s="1"/>
  <c r="AG60" i="25"/>
  <c r="AG74" i="25" s="1"/>
  <c r="AF60" i="25"/>
  <c r="AE60" i="25"/>
  <c r="AE74" i="25" s="1"/>
  <c r="AD60" i="25"/>
  <c r="AD74" i="25" s="1"/>
  <c r="AC60" i="25"/>
  <c r="AB60" i="25"/>
  <c r="AB74" i="25" s="1"/>
  <c r="AA60" i="25"/>
  <c r="Z60" i="25"/>
  <c r="Y60" i="25"/>
  <c r="Y74" i="25" s="1"/>
  <c r="X60" i="25"/>
  <c r="W60" i="25"/>
  <c r="W74" i="25" s="1"/>
  <c r="V60" i="25"/>
  <c r="V74" i="25" s="1"/>
  <c r="U60" i="25"/>
  <c r="U74" i="25" s="1"/>
  <c r="T60" i="25"/>
  <c r="S60" i="25"/>
  <c r="S74" i="25" s="1"/>
  <c r="R60" i="25"/>
  <c r="R74" i="25" s="1"/>
  <c r="Q60" i="25"/>
  <c r="P60" i="25"/>
  <c r="P74" i="25" s="1"/>
  <c r="O60" i="25"/>
  <c r="N60" i="25"/>
  <c r="M60" i="25"/>
  <c r="M74" i="25" s="1"/>
  <c r="L60" i="25"/>
  <c r="L74" i="25" s="1"/>
  <c r="K60" i="25"/>
  <c r="J60" i="25"/>
  <c r="J74" i="25" s="1"/>
  <c r="I60" i="25"/>
  <c r="H60" i="25"/>
  <c r="G60" i="25"/>
  <c r="G74" i="25" s="1"/>
  <c r="F60" i="25"/>
  <c r="F74" i="25" s="1"/>
  <c r="E60" i="25"/>
  <c r="D60" i="25"/>
  <c r="D74" i="25" s="1"/>
  <c r="C60" i="25"/>
  <c r="B60" i="25"/>
  <c r="A60" i="25"/>
  <c r="AU59" i="25"/>
  <c r="AT59" i="25"/>
  <c r="AS59" i="25"/>
  <c r="AR59" i="25"/>
  <c r="AQ59" i="25"/>
  <c r="AP59" i="25"/>
  <c r="AO59" i="25"/>
  <c r="AN59" i="25"/>
  <c r="AM59" i="25"/>
  <c r="AL59" i="25"/>
  <c r="AK59" i="25"/>
  <c r="AJ59" i="25"/>
  <c r="AI59" i="25"/>
  <c r="C59" i="25"/>
  <c r="B59" i="25"/>
  <c r="A59" i="25"/>
  <c r="AU58" i="25"/>
  <c r="AT58" i="25"/>
  <c r="AS58" i="25"/>
  <c r="AR58" i="25"/>
  <c r="AQ58" i="25"/>
  <c r="AP58" i="25"/>
  <c r="AO58" i="25"/>
  <c r="AN58" i="25"/>
  <c r="AM58" i="25"/>
  <c r="AL58" i="25"/>
  <c r="AK58" i="25"/>
  <c r="AJ58" i="25"/>
  <c r="AI58" i="25"/>
  <c r="C58" i="25"/>
  <c r="B58" i="25"/>
  <c r="A58" i="25"/>
  <c r="AU57" i="25"/>
  <c r="AT57" i="25"/>
  <c r="AS57" i="25"/>
  <c r="AR57" i="25"/>
  <c r="AQ57" i="25"/>
  <c r="AP57" i="25"/>
  <c r="AO57" i="25"/>
  <c r="AN57" i="25"/>
  <c r="AM57" i="25"/>
  <c r="AL57" i="25"/>
  <c r="AK57" i="25"/>
  <c r="AJ57" i="25"/>
  <c r="AI57" i="25"/>
  <c r="C57" i="25"/>
  <c r="B57" i="25"/>
  <c r="A57" i="25"/>
  <c r="AU56" i="25"/>
  <c r="AT56" i="25"/>
  <c r="AS56" i="25"/>
  <c r="AR56" i="25"/>
  <c r="AQ56" i="25"/>
  <c r="AP56" i="25"/>
  <c r="AO56" i="25"/>
  <c r="AN56" i="25"/>
  <c r="AM56" i="25"/>
  <c r="AL56" i="25"/>
  <c r="AK56" i="25"/>
  <c r="AJ56" i="25"/>
  <c r="AI56" i="25"/>
  <c r="C56" i="25"/>
  <c r="B56" i="25"/>
  <c r="A56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I55" i="25"/>
  <c r="C55" i="25"/>
  <c r="B55" i="25"/>
  <c r="A55" i="25"/>
  <c r="AU54" i="25"/>
  <c r="AT54" i="25"/>
  <c r="AS54" i="25"/>
  <c r="AR54" i="25"/>
  <c r="AQ54" i="25"/>
  <c r="AP54" i="25"/>
  <c r="AO54" i="25"/>
  <c r="AN54" i="25"/>
  <c r="AM54" i="25"/>
  <c r="AL54" i="25"/>
  <c r="AK54" i="25"/>
  <c r="AJ54" i="25"/>
  <c r="AI54" i="25"/>
  <c r="C54" i="25"/>
  <c r="B54" i="25"/>
  <c r="A54" i="25"/>
  <c r="AU53" i="25"/>
  <c r="AT53" i="25"/>
  <c r="AS53" i="25"/>
  <c r="AR53" i="25"/>
  <c r="AQ53" i="25"/>
  <c r="AP53" i="25"/>
  <c r="AO53" i="25"/>
  <c r="AN53" i="25"/>
  <c r="AM53" i="25"/>
  <c r="AL53" i="25"/>
  <c r="AK53" i="25"/>
  <c r="AJ53" i="25"/>
  <c r="AI53" i="25"/>
  <c r="C53" i="25"/>
  <c r="B53" i="25"/>
  <c r="A53" i="25"/>
  <c r="AU52" i="25"/>
  <c r="AT52" i="25"/>
  <c r="AS52" i="25"/>
  <c r="AR52" i="25"/>
  <c r="AQ52" i="25"/>
  <c r="AP52" i="25"/>
  <c r="AO52" i="25"/>
  <c r="AN52" i="25"/>
  <c r="AM52" i="25"/>
  <c r="AL52" i="25"/>
  <c r="AK52" i="25"/>
  <c r="AJ52" i="25"/>
  <c r="AI52" i="25"/>
  <c r="C52" i="25"/>
  <c r="B52" i="25"/>
  <c r="A52" i="25"/>
  <c r="AU51" i="25"/>
  <c r="AT51" i="25"/>
  <c r="AS51" i="25"/>
  <c r="AR51" i="25"/>
  <c r="AQ51" i="25"/>
  <c r="AP51" i="25"/>
  <c r="AO51" i="25"/>
  <c r="AN51" i="25"/>
  <c r="AM51" i="25"/>
  <c r="AL51" i="25"/>
  <c r="AK51" i="25"/>
  <c r="AJ51" i="25"/>
  <c r="AI51" i="25"/>
  <c r="C51" i="25"/>
  <c r="B51" i="25"/>
  <c r="A51" i="25"/>
  <c r="AU50" i="25"/>
  <c r="AT50" i="25"/>
  <c r="AS50" i="25"/>
  <c r="AR50" i="25"/>
  <c r="AQ50" i="25"/>
  <c r="AP50" i="25"/>
  <c r="AO50" i="25"/>
  <c r="AN50" i="25"/>
  <c r="AM50" i="25"/>
  <c r="AL50" i="25"/>
  <c r="AK50" i="25"/>
  <c r="AJ50" i="25"/>
  <c r="AI50" i="25"/>
  <c r="C50" i="25"/>
  <c r="B50" i="25"/>
  <c r="A50" i="25"/>
  <c r="C49" i="25"/>
  <c r="B49" i="25"/>
  <c r="A49" i="25"/>
  <c r="AU48" i="25"/>
  <c r="AT48" i="25"/>
  <c r="AS48" i="25"/>
  <c r="AR48" i="25"/>
  <c r="AQ48" i="25"/>
  <c r="AP48" i="25"/>
  <c r="AO48" i="25"/>
  <c r="AN48" i="25"/>
  <c r="AM48" i="25"/>
  <c r="AL48" i="25"/>
  <c r="AK48" i="25"/>
  <c r="AJ48" i="25"/>
  <c r="AI48" i="25"/>
  <c r="C48" i="25"/>
  <c r="B48" i="25"/>
  <c r="A48" i="25"/>
  <c r="AU47" i="25"/>
  <c r="AT47" i="25"/>
  <c r="AS47" i="25"/>
  <c r="AR47" i="25"/>
  <c r="AQ47" i="25"/>
  <c r="AP47" i="25"/>
  <c r="AO47" i="25"/>
  <c r="AN47" i="25"/>
  <c r="AM47" i="25"/>
  <c r="AL47" i="25"/>
  <c r="AK47" i="25"/>
  <c r="AJ47" i="25"/>
  <c r="AI47" i="25"/>
  <c r="C47" i="25"/>
  <c r="B47" i="25"/>
  <c r="A47" i="25"/>
  <c r="C46" i="25"/>
  <c r="B46" i="25"/>
  <c r="A46" i="25"/>
  <c r="AU45" i="25"/>
  <c r="AT45" i="25"/>
  <c r="AS45" i="25"/>
  <c r="AR45" i="25"/>
  <c r="AQ45" i="25"/>
  <c r="AP45" i="25"/>
  <c r="AO45" i="25"/>
  <c r="AN45" i="25"/>
  <c r="AM45" i="25"/>
  <c r="AL45" i="25"/>
  <c r="AK45" i="25"/>
  <c r="AJ45" i="25"/>
  <c r="AI45" i="25"/>
  <c r="C45" i="25"/>
  <c r="B45" i="25"/>
  <c r="A45" i="25"/>
  <c r="AU44" i="25"/>
  <c r="AT44" i="25"/>
  <c r="AS44" i="25"/>
  <c r="AR44" i="25"/>
  <c r="AQ44" i="25"/>
  <c r="AP44" i="25"/>
  <c r="AO44" i="25"/>
  <c r="AN44" i="25"/>
  <c r="AM44" i="25"/>
  <c r="AL44" i="25"/>
  <c r="AK44" i="25"/>
  <c r="AJ44" i="25"/>
  <c r="AI44" i="25"/>
  <c r="C44" i="25"/>
  <c r="B44" i="25"/>
  <c r="A44" i="25"/>
  <c r="C43" i="25"/>
  <c r="B43" i="25"/>
  <c r="A43" i="25"/>
  <c r="AU42" i="25"/>
  <c r="AT42" i="25"/>
  <c r="AS42" i="25"/>
  <c r="AR42" i="25"/>
  <c r="AQ42" i="25"/>
  <c r="AP42" i="25"/>
  <c r="AO42" i="25"/>
  <c r="AN42" i="25"/>
  <c r="AM42" i="25"/>
  <c r="AL42" i="25"/>
  <c r="AK42" i="25"/>
  <c r="AJ42" i="25"/>
  <c r="AI42" i="25"/>
  <c r="C42" i="25"/>
  <c r="B42" i="25"/>
  <c r="A42" i="25"/>
  <c r="C41" i="25"/>
  <c r="B41" i="25"/>
  <c r="A41" i="25"/>
  <c r="AU40" i="25"/>
  <c r="AT40" i="25"/>
  <c r="AS40" i="25"/>
  <c r="AR40" i="25"/>
  <c r="AQ40" i="25"/>
  <c r="AP40" i="25"/>
  <c r="AO40" i="25"/>
  <c r="AN40" i="25"/>
  <c r="AM40" i="25"/>
  <c r="AL40" i="25"/>
  <c r="AK40" i="25"/>
  <c r="AJ40" i="25"/>
  <c r="AI40" i="25"/>
  <c r="C40" i="25"/>
  <c r="B40" i="25"/>
  <c r="A40" i="25"/>
  <c r="C39" i="25"/>
  <c r="B39" i="25"/>
  <c r="A39" i="25"/>
  <c r="C38" i="25"/>
  <c r="B38" i="25"/>
  <c r="A38" i="25"/>
  <c r="AH37" i="25"/>
  <c r="AG37" i="25"/>
  <c r="AF37" i="25"/>
  <c r="AE37" i="25"/>
  <c r="AD37" i="25"/>
  <c r="AC37" i="25"/>
  <c r="AB37" i="25"/>
  <c r="AA37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A37" i="25"/>
  <c r="AU36" i="25"/>
  <c r="AT36" i="25"/>
  <c r="AS36" i="25"/>
  <c r="AR36" i="25"/>
  <c r="AQ36" i="25"/>
  <c r="AP36" i="25"/>
  <c r="AO36" i="25"/>
  <c r="AN36" i="25"/>
  <c r="AM36" i="25"/>
  <c r="AL36" i="25"/>
  <c r="AK36" i="25"/>
  <c r="AJ36" i="25"/>
  <c r="AI36" i="25"/>
  <c r="C36" i="25"/>
  <c r="B36" i="25"/>
  <c r="A36" i="25"/>
  <c r="C35" i="25"/>
  <c r="B35" i="25"/>
  <c r="A35" i="25"/>
  <c r="AU34" i="25"/>
  <c r="AT34" i="25"/>
  <c r="AS34" i="25"/>
  <c r="AR34" i="25"/>
  <c r="AQ34" i="25"/>
  <c r="AP34" i="25"/>
  <c r="AO34" i="25"/>
  <c r="AN34" i="25"/>
  <c r="AM34" i="25"/>
  <c r="AL34" i="25"/>
  <c r="AK34" i="25"/>
  <c r="AJ34" i="25"/>
  <c r="AI34" i="25"/>
  <c r="C34" i="25"/>
  <c r="B34" i="25"/>
  <c r="A34" i="25"/>
  <c r="AU33" i="25"/>
  <c r="AT33" i="25"/>
  <c r="AS33" i="25"/>
  <c r="AR33" i="25"/>
  <c r="AQ33" i="25"/>
  <c r="AP33" i="25"/>
  <c r="AO33" i="25"/>
  <c r="AN33" i="25"/>
  <c r="AM33" i="25"/>
  <c r="AL33" i="25"/>
  <c r="AK33" i="25"/>
  <c r="AJ33" i="25"/>
  <c r="AI33" i="25"/>
  <c r="C33" i="25"/>
  <c r="B33" i="25"/>
  <c r="A33" i="25"/>
  <c r="C32" i="25"/>
  <c r="B32" i="25"/>
  <c r="A32" i="25"/>
  <c r="AU31" i="25"/>
  <c r="AT31" i="25"/>
  <c r="AS31" i="25"/>
  <c r="AR31" i="25"/>
  <c r="AQ31" i="25"/>
  <c r="AP31" i="25"/>
  <c r="AO31" i="25"/>
  <c r="AN31" i="25"/>
  <c r="AM31" i="25"/>
  <c r="AL31" i="25"/>
  <c r="AK31" i="25"/>
  <c r="AJ31" i="25"/>
  <c r="AI31" i="25"/>
  <c r="C31" i="25"/>
  <c r="B31" i="25"/>
  <c r="A31" i="25"/>
  <c r="C30" i="25"/>
  <c r="B30" i="25"/>
  <c r="A30" i="25"/>
  <c r="AU29" i="25"/>
  <c r="AT29" i="25"/>
  <c r="AS29" i="25"/>
  <c r="AR29" i="25"/>
  <c r="AQ29" i="25"/>
  <c r="AP29" i="25"/>
  <c r="AO29" i="25"/>
  <c r="AN29" i="25"/>
  <c r="AM29" i="25"/>
  <c r="AL29" i="25"/>
  <c r="AK29" i="25"/>
  <c r="AJ29" i="25"/>
  <c r="AI29" i="25"/>
  <c r="C29" i="25"/>
  <c r="B29" i="25"/>
  <c r="A29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C28" i="25"/>
  <c r="B28" i="25"/>
  <c r="A28" i="25"/>
  <c r="AU27" i="25"/>
  <c r="AT27" i="25"/>
  <c r="AS27" i="25"/>
  <c r="AR27" i="25"/>
  <c r="AQ27" i="25"/>
  <c r="AP27" i="25"/>
  <c r="AO27" i="25"/>
  <c r="AN27" i="25"/>
  <c r="AM27" i="25"/>
  <c r="AL27" i="25"/>
  <c r="AK27" i="25"/>
  <c r="AJ27" i="25"/>
  <c r="AI27" i="25"/>
  <c r="C27" i="25"/>
  <c r="B27" i="25"/>
  <c r="A27" i="25"/>
  <c r="AU26" i="25"/>
  <c r="AT26" i="25"/>
  <c r="AS26" i="25"/>
  <c r="AR26" i="25"/>
  <c r="AQ26" i="25"/>
  <c r="AP26" i="25"/>
  <c r="AO26" i="25"/>
  <c r="AN26" i="25"/>
  <c r="AM26" i="25"/>
  <c r="AL26" i="25"/>
  <c r="AK26" i="25"/>
  <c r="AJ26" i="25"/>
  <c r="AI26" i="25"/>
  <c r="C26" i="25"/>
  <c r="B26" i="25"/>
  <c r="A26" i="25"/>
  <c r="C25" i="25"/>
  <c r="B25" i="25"/>
  <c r="A25" i="25"/>
  <c r="AU24" i="25"/>
  <c r="AT24" i="25"/>
  <c r="AS24" i="25"/>
  <c r="AR24" i="25"/>
  <c r="AQ24" i="25"/>
  <c r="AP24" i="25"/>
  <c r="AO24" i="25"/>
  <c r="AN24" i="25"/>
  <c r="AM24" i="25"/>
  <c r="AL24" i="25"/>
  <c r="AK24" i="25"/>
  <c r="AJ24" i="25"/>
  <c r="AI24" i="25"/>
  <c r="C24" i="25"/>
  <c r="B24" i="25"/>
  <c r="A24" i="25"/>
  <c r="AU23" i="25"/>
  <c r="AT23" i="25"/>
  <c r="AS23" i="25"/>
  <c r="AR23" i="25"/>
  <c r="AQ23" i="25"/>
  <c r="AP23" i="25"/>
  <c r="AO23" i="25"/>
  <c r="AN23" i="25"/>
  <c r="AM23" i="25"/>
  <c r="AL23" i="25"/>
  <c r="AK23" i="25"/>
  <c r="AJ23" i="25"/>
  <c r="AI23" i="25"/>
  <c r="C23" i="25"/>
  <c r="B23" i="25"/>
  <c r="A23" i="25"/>
  <c r="C22" i="25"/>
  <c r="B22" i="25"/>
  <c r="A22" i="25"/>
  <c r="AU21" i="25"/>
  <c r="AT21" i="25"/>
  <c r="AS21" i="25"/>
  <c r="AR21" i="25"/>
  <c r="AQ21" i="25"/>
  <c r="AP21" i="25"/>
  <c r="AO21" i="25"/>
  <c r="AN21" i="25"/>
  <c r="AM21" i="25"/>
  <c r="AL21" i="25"/>
  <c r="AK21" i="25"/>
  <c r="AJ21" i="25"/>
  <c r="AI21" i="25"/>
  <c r="C21" i="25"/>
  <c r="B21" i="25"/>
  <c r="A21" i="25"/>
  <c r="C20" i="25"/>
  <c r="B20" i="25"/>
  <c r="A20" i="25"/>
  <c r="AU19" i="25"/>
  <c r="AT19" i="25"/>
  <c r="AS19" i="25"/>
  <c r="AR19" i="25"/>
  <c r="AQ19" i="25"/>
  <c r="AP19" i="25"/>
  <c r="AO19" i="25"/>
  <c r="AN19" i="25"/>
  <c r="AM19" i="25"/>
  <c r="AL19" i="25"/>
  <c r="AK19" i="25"/>
  <c r="AJ19" i="25"/>
  <c r="AI19" i="25"/>
  <c r="C19" i="25"/>
  <c r="B19" i="25"/>
  <c r="A19" i="25"/>
  <c r="C18" i="25"/>
  <c r="B18" i="25"/>
  <c r="A18" i="25"/>
  <c r="AU17" i="25"/>
  <c r="AT17" i="25"/>
  <c r="AS17" i="25"/>
  <c r="AR17" i="25"/>
  <c r="AQ17" i="25"/>
  <c r="AP17" i="25"/>
  <c r="AO17" i="25"/>
  <c r="AN17" i="25"/>
  <c r="AM17" i="25"/>
  <c r="AL17" i="25"/>
  <c r="AK17" i="25"/>
  <c r="AJ17" i="25"/>
  <c r="AI17" i="25"/>
  <c r="C17" i="25"/>
  <c r="B17" i="25"/>
  <c r="A17" i="25"/>
  <c r="C16" i="25"/>
  <c r="B16" i="25"/>
  <c r="A16" i="25"/>
  <c r="C15" i="25"/>
  <c r="B15" i="25"/>
  <c r="A15" i="25"/>
  <c r="AU14" i="25"/>
  <c r="AT14" i="25"/>
  <c r="AS14" i="25"/>
  <c r="AR14" i="25"/>
  <c r="AQ14" i="25"/>
  <c r="AP14" i="25"/>
  <c r="AO14" i="25"/>
  <c r="AN14" i="25"/>
  <c r="AM14" i="25"/>
  <c r="AL14" i="25"/>
  <c r="AK14" i="25"/>
  <c r="AJ14" i="25"/>
  <c r="AI14" i="25"/>
  <c r="C14" i="25"/>
  <c r="B14" i="25"/>
  <c r="A14" i="25"/>
  <c r="C13" i="25"/>
  <c r="B13" i="25"/>
  <c r="A13" i="25"/>
  <c r="AU12" i="25"/>
  <c r="AT12" i="25"/>
  <c r="AS12" i="25"/>
  <c r="AR12" i="25"/>
  <c r="AQ12" i="25"/>
  <c r="AP12" i="25"/>
  <c r="AO12" i="25"/>
  <c r="AN12" i="25"/>
  <c r="AM12" i="25"/>
  <c r="AL12" i="25"/>
  <c r="AK12" i="25"/>
  <c r="AJ12" i="25"/>
  <c r="AI12" i="25"/>
  <c r="C12" i="25"/>
  <c r="B12" i="25"/>
  <c r="A12" i="25"/>
  <c r="C11" i="25"/>
  <c r="B11" i="25"/>
  <c r="A11" i="25"/>
  <c r="AG106" i="24"/>
  <c r="AF106" i="24"/>
  <c r="AE106" i="24"/>
  <c r="AD106" i="24"/>
  <c r="AC106" i="24"/>
  <c r="AB106" i="24"/>
  <c r="AA106" i="24"/>
  <c r="Z106" i="24"/>
  <c r="Y106" i="24"/>
  <c r="X106" i="24"/>
  <c r="W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AG84" i="24"/>
  <c r="AF84" i="24"/>
  <c r="AE84" i="24"/>
  <c r="AD84" i="24"/>
  <c r="AC84" i="24"/>
  <c r="AB84" i="24"/>
  <c r="AA84" i="24"/>
  <c r="Z84" i="24"/>
  <c r="Y84" i="24"/>
  <c r="X84" i="24"/>
  <c r="W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AT80" i="24"/>
  <c r="AS80" i="24"/>
  <c r="AR80" i="24"/>
  <c r="AQ80" i="24"/>
  <c r="AP80" i="24"/>
  <c r="AO80" i="24"/>
  <c r="AN80" i="24"/>
  <c r="AM80" i="24"/>
  <c r="AL80" i="24"/>
  <c r="AK80" i="24"/>
  <c r="AJ80" i="24"/>
  <c r="AI80" i="24"/>
  <c r="AH80" i="24"/>
  <c r="C80" i="24"/>
  <c r="B80" i="24"/>
  <c r="A80" i="24"/>
  <c r="AT79" i="24"/>
  <c r="AS79" i="24"/>
  <c r="AR79" i="24"/>
  <c r="AQ79" i="24"/>
  <c r="AP79" i="24"/>
  <c r="AO79" i="24"/>
  <c r="AN79" i="24"/>
  <c r="AM79" i="24"/>
  <c r="AL79" i="24"/>
  <c r="AK79" i="24"/>
  <c r="AJ79" i="24"/>
  <c r="AI79" i="24"/>
  <c r="AH79" i="24"/>
  <c r="C79" i="24"/>
  <c r="B79" i="24"/>
  <c r="A79" i="24"/>
  <c r="C78" i="24"/>
  <c r="B78" i="24"/>
  <c r="A78" i="24"/>
  <c r="AT77" i="24"/>
  <c r="AS77" i="24"/>
  <c r="AR77" i="24"/>
  <c r="AQ77" i="24"/>
  <c r="AP77" i="24"/>
  <c r="AO77" i="24"/>
  <c r="AN77" i="24"/>
  <c r="AM77" i="24"/>
  <c r="AL77" i="24"/>
  <c r="AK77" i="24"/>
  <c r="AJ77" i="24"/>
  <c r="AI77" i="24"/>
  <c r="AH77" i="24"/>
  <c r="C77" i="24"/>
  <c r="B77" i="24"/>
  <c r="A77" i="24"/>
  <c r="AT76" i="24"/>
  <c r="AS76" i="24"/>
  <c r="AR76" i="24"/>
  <c r="AQ76" i="24"/>
  <c r="AP76" i="24"/>
  <c r="AO76" i="24"/>
  <c r="AN76" i="24"/>
  <c r="AM76" i="24"/>
  <c r="AL76" i="24"/>
  <c r="AK76" i="24"/>
  <c r="AJ76" i="24"/>
  <c r="AI76" i="24"/>
  <c r="AH76" i="24"/>
  <c r="C76" i="24"/>
  <c r="B76" i="24"/>
  <c r="A76" i="24"/>
  <c r="C75" i="24"/>
  <c r="B75" i="24"/>
  <c r="A75" i="24"/>
  <c r="AC74" i="24"/>
  <c r="Q74" i="24"/>
  <c r="C74" i="24"/>
  <c r="B74" i="24"/>
  <c r="A74" i="24"/>
  <c r="AG73" i="24"/>
  <c r="AF73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P73" i="24"/>
  <c r="O73" i="24"/>
  <c r="N73" i="24"/>
  <c r="M73" i="24"/>
  <c r="L73" i="24"/>
  <c r="K73" i="24"/>
  <c r="J73" i="24"/>
  <c r="I73" i="24"/>
  <c r="H73" i="24"/>
  <c r="G73" i="24"/>
  <c r="F73" i="24"/>
  <c r="E73" i="24"/>
  <c r="D73" i="24"/>
  <c r="C73" i="24"/>
  <c r="B73" i="24"/>
  <c r="A73" i="24"/>
  <c r="AT72" i="24"/>
  <c r="AS72" i="24"/>
  <c r="AR72" i="24"/>
  <c r="AQ72" i="24"/>
  <c r="AP72" i="24"/>
  <c r="AO72" i="24"/>
  <c r="AN72" i="24"/>
  <c r="AM72" i="24"/>
  <c r="AL72" i="24"/>
  <c r="AK72" i="24"/>
  <c r="AJ72" i="24"/>
  <c r="AI72" i="24"/>
  <c r="AH72" i="24"/>
  <c r="C72" i="24"/>
  <c r="B72" i="24"/>
  <c r="A72" i="24"/>
  <c r="AT71" i="24"/>
  <c r="AS71" i="24"/>
  <c r="AR71" i="24"/>
  <c r="AQ71" i="24"/>
  <c r="AP71" i="24"/>
  <c r="AO71" i="24"/>
  <c r="AN71" i="24"/>
  <c r="AM71" i="24"/>
  <c r="AL71" i="24"/>
  <c r="AK71" i="24"/>
  <c r="AJ71" i="24"/>
  <c r="AI71" i="24"/>
  <c r="AH71" i="24"/>
  <c r="C71" i="24"/>
  <c r="B71" i="24"/>
  <c r="A71" i="24"/>
  <c r="AT70" i="24"/>
  <c r="AS70" i="24"/>
  <c r="AR70" i="24"/>
  <c r="AQ70" i="24"/>
  <c r="AP70" i="24"/>
  <c r="AO70" i="24"/>
  <c r="AN70" i="24"/>
  <c r="AM70" i="24"/>
  <c r="AL70" i="24"/>
  <c r="AK70" i="24"/>
  <c r="AJ70" i="24"/>
  <c r="AI70" i="24"/>
  <c r="AH70" i="24"/>
  <c r="C70" i="24"/>
  <c r="B70" i="24"/>
  <c r="A70" i="24"/>
  <c r="AT69" i="24"/>
  <c r="AS69" i="24"/>
  <c r="AR69" i="24"/>
  <c r="AQ69" i="24"/>
  <c r="AP69" i="24"/>
  <c r="AO69" i="24"/>
  <c r="AN69" i="24"/>
  <c r="AM69" i="24"/>
  <c r="AL69" i="24"/>
  <c r="AK69" i="24"/>
  <c r="AJ69" i="24"/>
  <c r="AI69" i="24"/>
  <c r="AH69" i="24"/>
  <c r="C69" i="24"/>
  <c r="B69" i="24"/>
  <c r="A69" i="24"/>
  <c r="AT68" i="24"/>
  <c r="AS68" i="24"/>
  <c r="AR68" i="24"/>
  <c r="AQ68" i="24"/>
  <c r="AP68" i="24"/>
  <c r="AO68" i="24"/>
  <c r="AN68" i="24"/>
  <c r="AM68" i="24"/>
  <c r="AL68" i="24"/>
  <c r="AK68" i="24"/>
  <c r="AJ68" i="24"/>
  <c r="AI68" i="24"/>
  <c r="AH68" i="24"/>
  <c r="C68" i="24"/>
  <c r="B68" i="24"/>
  <c r="A68" i="24"/>
  <c r="AT67" i="24"/>
  <c r="AS67" i="24"/>
  <c r="AR67" i="24"/>
  <c r="AQ67" i="24"/>
  <c r="AP67" i="24"/>
  <c r="AO67" i="24"/>
  <c r="AN67" i="24"/>
  <c r="AM67" i="24"/>
  <c r="AL67" i="24"/>
  <c r="AK67" i="24"/>
  <c r="AJ67" i="24"/>
  <c r="AI67" i="24"/>
  <c r="AH67" i="24"/>
  <c r="C67" i="24"/>
  <c r="B67" i="24"/>
  <c r="A67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C66" i="24"/>
  <c r="B66" i="24"/>
  <c r="A66" i="24"/>
  <c r="AT65" i="24"/>
  <c r="AS65" i="24"/>
  <c r="AR65" i="24"/>
  <c r="AQ65" i="24"/>
  <c r="AP65" i="24"/>
  <c r="AO65" i="24"/>
  <c r="AN65" i="24"/>
  <c r="AM65" i="24"/>
  <c r="AL65" i="24"/>
  <c r="AK65" i="24"/>
  <c r="AJ65" i="24"/>
  <c r="AI65" i="24"/>
  <c r="AH65" i="24"/>
  <c r="C65" i="24"/>
  <c r="B65" i="24"/>
  <c r="A65" i="24"/>
  <c r="AT64" i="24"/>
  <c r="AS64" i="24"/>
  <c r="AR64" i="24"/>
  <c r="AQ64" i="24"/>
  <c r="AP64" i="24"/>
  <c r="AO64" i="24"/>
  <c r="AN64" i="24"/>
  <c r="AM64" i="24"/>
  <c r="AL64" i="24"/>
  <c r="AK64" i="24"/>
  <c r="AJ64" i="24"/>
  <c r="AI64" i="24"/>
  <c r="AH64" i="24"/>
  <c r="C64" i="24"/>
  <c r="B64" i="24"/>
  <c r="A64" i="24"/>
  <c r="AT63" i="24"/>
  <c r="AS63" i="24"/>
  <c r="AR63" i="24"/>
  <c r="AQ63" i="24"/>
  <c r="AP63" i="24"/>
  <c r="AO63" i="24"/>
  <c r="AN63" i="24"/>
  <c r="AM63" i="24"/>
  <c r="AL63" i="24"/>
  <c r="AK63" i="24"/>
  <c r="AJ63" i="24"/>
  <c r="AI63" i="24"/>
  <c r="AH63" i="24"/>
  <c r="C63" i="24"/>
  <c r="B63" i="24"/>
  <c r="A63" i="24"/>
  <c r="AT62" i="24"/>
  <c r="AS62" i="24"/>
  <c r="AR62" i="24"/>
  <c r="AQ62" i="24"/>
  <c r="AP62" i="24"/>
  <c r="AO62" i="24"/>
  <c r="AN62" i="24"/>
  <c r="AM62" i="24"/>
  <c r="AL62" i="24"/>
  <c r="AK62" i="24"/>
  <c r="AJ62" i="24"/>
  <c r="AI62" i="24"/>
  <c r="AH62" i="24"/>
  <c r="C62" i="24"/>
  <c r="B62" i="24"/>
  <c r="A62" i="24"/>
  <c r="C61" i="24"/>
  <c r="B61" i="24"/>
  <c r="A61" i="24"/>
  <c r="AG60" i="24"/>
  <c r="AG74" i="24" s="1"/>
  <c r="AF60" i="24"/>
  <c r="AF74" i="24" s="1"/>
  <c r="AE60" i="24"/>
  <c r="AE74" i="24" s="1"/>
  <c r="AD60" i="24"/>
  <c r="AD74" i="24" s="1"/>
  <c r="AC60" i="24"/>
  <c r="AB60" i="24"/>
  <c r="AB74" i="24" s="1"/>
  <c r="AA60" i="24"/>
  <c r="AA74" i="24" s="1"/>
  <c r="Z60" i="24"/>
  <c r="Z74" i="24" s="1"/>
  <c r="Y60" i="24"/>
  <c r="Y74" i="24" s="1"/>
  <c r="X60" i="24"/>
  <c r="X74" i="24" s="1"/>
  <c r="W60" i="24"/>
  <c r="W74" i="24" s="1"/>
  <c r="V60" i="24"/>
  <c r="V74" i="24" s="1"/>
  <c r="U60" i="24"/>
  <c r="U74" i="24" s="1"/>
  <c r="T60" i="24"/>
  <c r="T74" i="24" s="1"/>
  <c r="S60" i="24"/>
  <c r="S74" i="24" s="1"/>
  <c r="R60" i="24"/>
  <c r="R74" i="24" s="1"/>
  <c r="Q60" i="24"/>
  <c r="P60" i="24"/>
  <c r="P74" i="24" s="1"/>
  <c r="O60" i="24"/>
  <c r="O74" i="24" s="1"/>
  <c r="N60" i="24"/>
  <c r="N74" i="24" s="1"/>
  <c r="M60" i="24"/>
  <c r="M74" i="24" s="1"/>
  <c r="L60" i="24"/>
  <c r="L74" i="24" s="1"/>
  <c r="K60" i="24"/>
  <c r="K74" i="24" s="1"/>
  <c r="J60" i="24"/>
  <c r="J74" i="24" s="1"/>
  <c r="I60" i="24"/>
  <c r="I74" i="24" s="1"/>
  <c r="H60" i="24"/>
  <c r="H74" i="24" s="1"/>
  <c r="G60" i="24"/>
  <c r="G74" i="24" s="1"/>
  <c r="F60" i="24"/>
  <c r="F74" i="24" s="1"/>
  <c r="E60" i="24"/>
  <c r="E74" i="24" s="1"/>
  <c r="D60" i="24"/>
  <c r="D74" i="24" s="1"/>
  <c r="C60" i="24"/>
  <c r="B60" i="24"/>
  <c r="A60" i="24"/>
  <c r="AT59" i="24"/>
  <c r="AS59" i="24"/>
  <c r="AR59" i="24"/>
  <c r="AQ59" i="24"/>
  <c r="AP59" i="24"/>
  <c r="AO59" i="24"/>
  <c r="AN59" i="24"/>
  <c r="AM59" i="24"/>
  <c r="AL59" i="24"/>
  <c r="AK59" i="24"/>
  <c r="AJ59" i="24"/>
  <c r="AI59" i="24"/>
  <c r="AH59" i="24"/>
  <c r="C59" i="24"/>
  <c r="B59" i="24"/>
  <c r="A59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C58" i="24"/>
  <c r="B58" i="24"/>
  <c r="A58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C57" i="24"/>
  <c r="B57" i="24"/>
  <c r="A57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C56" i="24"/>
  <c r="B56" i="24"/>
  <c r="A56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C55" i="24"/>
  <c r="B55" i="24"/>
  <c r="A55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C54" i="24"/>
  <c r="B54" i="24"/>
  <c r="A54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C53" i="24"/>
  <c r="B53" i="24"/>
  <c r="A53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C52" i="24"/>
  <c r="B52" i="24"/>
  <c r="A52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C51" i="24"/>
  <c r="B51" i="24"/>
  <c r="A51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C50" i="24"/>
  <c r="B50" i="24"/>
  <c r="A50" i="24"/>
  <c r="C49" i="24"/>
  <c r="B49" i="24"/>
  <c r="A49" i="24"/>
  <c r="AT48" i="24"/>
  <c r="AS48" i="24"/>
  <c r="AR48" i="24"/>
  <c r="AQ48" i="24"/>
  <c r="AP48" i="24"/>
  <c r="AO48" i="24"/>
  <c r="AN48" i="24"/>
  <c r="AM48" i="24"/>
  <c r="AL48" i="24"/>
  <c r="AK48" i="24"/>
  <c r="AJ48" i="24"/>
  <c r="AI48" i="24"/>
  <c r="AH48" i="24"/>
  <c r="C48" i="24"/>
  <c r="B48" i="24"/>
  <c r="A48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C47" i="24"/>
  <c r="B47" i="24"/>
  <c r="A47" i="24"/>
  <c r="C46" i="24"/>
  <c r="B46" i="24"/>
  <c r="A46" i="24"/>
  <c r="AT45" i="24"/>
  <c r="AS45" i="24"/>
  <c r="AR45" i="24"/>
  <c r="AQ45" i="24"/>
  <c r="AP45" i="24"/>
  <c r="AO45" i="24"/>
  <c r="AN45" i="24"/>
  <c r="AM45" i="24"/>
  <c r="AL45" i="24"/>
  <c r="AK45" i="24"/>
  <c r="AJ45" i="24"/>
  <c r="AI45" i="24"/>
  <c r="AH45" i="24"/>
  <c r="C45" i="24"/>
  <c r="B45" i="24"/>
  <c r="A45" i="24"/>
  <c r="AT44" i="24"/>
  <c r="AS44" i="24"/>
  <c r="AR44" i="24"/>
  <c r="AQ44" i="24"/>
  <c r="AP44" i="24"/>
  <c r="AO44" i="24"/>
  <c r="AN44" i="24"/>
  <c r="AM44" i="24"/>
  <c r="AL44" i="24"/>
  <c r="AK44" i="24"/>
  <c r="AJ44" i="24"/>
  <c r="AI44" i="24"/>
  <c r="AH44" i="24"/>
  <c r="C44" i="24"/>
  <c r="B44" i="24"/>
  <c r="A44" i="24"/>
  <c r="C43" i="24"/>
  <c r="B43" i="24"/>
  <c r="A43" i="24"/>
  <c r="AT42" i="24"/>
  <c r="AS42" i="24"/>
  <c r="AR42" i="24"/>
  <c r="AQ42" i="24"/>
  <c r="AP42" i="24"/>
  <c r="AO42" i="24"/>
  <c r="AN42" i="24"/>
  <c r="AM42" i="24"/>
  <c r="AL42" i="24"/>
  <c r="AK42" i="24"/>
  <c r="AJ42" i="24"/>
  <c r="AI42" i="24"/>
  <c r="AH42" i="24"/>
  <c r="C42" i="24"/>
  <c r="B42" i="24"/>
  <c r="A42" i="24"/>
  <c r="C41" i="24"/>
  <c r="B41" i="24"/>
  <c r="A41" i="24"/>
  <c r="AT40" i="24"/>
  <c r="AS40" i="24"/>
  <c r="AR40" i="24"/>
  <c r="AQ40" i="24"/>
  <c r="AP40" i="24"/>
  <c r="AO40" i="24"/>
  <c r="AN40" i="24"/>
  <c r="AM40" i="24"/>
  <c r="AL40" i="24"/>
  <c r="AK40" i="24"/>
  <c r="AJ40" i="24"/>
  <c r="AI40" i="24"/>
  <c r="AH40" i="24"/>
  <c r="C40" i="24"/>
  <c r="B40" i="24"/>
  <c r="A40" i="24"/>
  <c r="C39" i="24"/>
  <c r="B39" i="24"/>
  <c r="A39" i="24"/>
  <c r="C38" i="24"/>
  <c r="B38" i="24"/>
  <c r="A38" i="24"/>
  <c r="AG37" i="24"/>
  <c r="AF37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C37" i="24"/>
  <c r="B37" i="24"/>
  <c r="A37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C36" i="24"/>
  <c r="B36" i="24"/>
  <c r="A36" i="24"/>
  <c r="C35" i="24"/>
  <c r="B35" i="24"/>
  <c r="A35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C34" i="24"/>
  <c r="B34" i="24"/>
  <c r="A34" i="24"/>
  <c r="AT33" i="24"/>
  <c r="AS33" i="24"/>
  <c r="AR33" i="24"/>
  <c r="AQ33" i="24"/>
  <c r="AP33" i="24"/>
  <c r="AO33" i="24"/>
  <c r="AN33" i="24"/>
  <c r="AM33" i="24"/>
  <c r="AL33" i="24"/>
  <c r="AK33" i="24"/>
  <c r="AJ33" i="24"/>
  <c r="AI33" i="24"/>
  <c r="AH33" i="24"/>
  <c r="C33" i="24"/>
  <c r="B33" i="24"/>
  <c r="A33" i="24"/>
  <c r="C32" i="24"/>
  <c r="B32" i="24"/>
  <c r="A32" i="24"/>
  <c r="AT31" i="24"/>
  <c r="AS31" i="24"/>
  <c r="AR31" i="24"/>
  <c r="AQ31" i="24"/>
  <c r="AP31" i="24"/>
  <c r="AO31" i="24"/>
  <c r="AN31" i="24"/>
  <c r="AM31" i="24"/>
  <c r="AL31" i="24"/>
  <c r="AK31" i="24"/>
  <c r="AJ31" i="24"/>
  <c r="AI31" i="24"/>
  <c r="AH31" i="24"/>
  <c r="C31" i="24"/>
  <c r="B31" i="24"/>
  <c r="A31" i="24"/>
  <c r="C30" i="24"/>
  <c r="B30" i="24"/>
  <c r="A30" i="24"/>
  <c r="AT29" i="24"/>
  <c r="AS29" i="24"/>
  <c r="AR29" i="24"/>
  <c r="AQ29" i="24"/>
  <c r="AP29" i="24"/>
  <c r="AO29" i="24"/>
  <c r="AN29" i="24"/>
  <c r="AM29" i="24"/>
  <c r="AL29" i="24"/>
  <c r="AK29" i="24"/>
  <c r="AJ29" i="24"/>
  <c r="AI29" i="24"/>
  <c r="AH29" i="24"/>
  <c r="C29" i="24"/>
  <c r="B29" i="24"/>
  <c r="A29" i="24"/>
  <c r="AT28" i="24"/>
  <c r="AS28" i="24"/>
  <c r="AR28" i="24"/>
  <c r="AQ28" i="24"/>
  <c r="AP28" i="24"/>
  <c r="AO28" i="24"/>
  <c r="AN28" i="24"/>
  <c r="AM28" i="24"/>
  <c r="AL28" i="24"/>
  <c r="AK28" i="24"/>
  <c r="AJ28" i="24"/>
  <c r="AI28" i="24"/>
  <c r="AH28" i="24"/>
  <c r="C28" i="24"/>
  <c r="B28" i="24"/>
  <c r="A28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C27" i="24"/>
  <c r="B27" i="24"/>
  <c r="A27" i="24"/>
  <c r="AT26" i="24"/>
  <c r="AS26" i="24"/>
  <c r="AR26" i="24"/>
  <c r="AQ26" i="24"/>
  <c r="AP26" i="24"/>
  <c r="AO26" i="24"/>
  <c r="AN26" i="24"/>
  <c r="AM26" i="24"/>
  <c r="AL26" i="24"/>
  <c r="AK26" i="24"/>
  <c r="AJ26" i="24"/>
  <c r="AI26" i="24"/>
  <c r="AH26" i="24"/>
  <c r="C26" i="24"/>
  <c r="B26" i="24"/>
  <c r="A26" i="24"/>
  <c r="C25" i="24"/>
  <c r="B25" i="24"/>
  <c r="A25" i="24"/>
  <c r="AT24" i="24"/>
  <c r="AS24" i="24"/>
  <c r="AR24" i="24"/>
  <c r="AQ24" i="24"/>
  <c r="AP24" i="24"/>
  <c r="AO24" i="24"/>
  <c r="AN24" i="24"/>
  <c r="AM24" i="24"/>
  <c r="AL24" i="24"/>
  <c r="AK24" i="24"/>
  <c r="AJ24" i="24"/>
  <c r="AI24" i="24"/>
  <c r="AH24" i="24"/>
  <c r="C24" i="24"/>
  <c r="B24" i="24"/>
  <c r="A24" i="24"/>
  <c r="AT23" i="24"/>
  <c r="AS23" i="24"/>
  <c r="AR23" i="24"/>
  <c r="AQ23" i="24"/>
  <c r="AP23" i="24"/>
  <c r="AO23" i="24"/>
  <c r="AN23" i="24"/>
  <c r="AM23" i="24"/>
  <c r="AL23" i="24"/>
  <c r="AK23" i="24"/>
  <c r="AJ23" i="24"/>
  <c r="AI23" i="24"/>
  <c r="AH23" i="24"/>
  <c r="C23" i="24"/>
  <c r="B23" i="24"/>
  <c r="A23" i="24"/>
  <c r="C22" i="24"/>
  <c r="B22" i="24"/>
  <c r="A22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C21" i="24"/>
  <c r="B21" i="24"/>
  <c r="A21" i="24"/>
  <c r="C20" i="24"/>
  <c r="B20" i="24"/>
  <c r="A20" i="24"/>
  <c r="AT19" i="24"/>
  <c r="AS19" i="24"/>
  <c r="AR19" i="24"/>
  <c r="AQ19" i="24"/>
  <c r="AP19" i="24"/>
  <c r="AO19" i="24"/>
  <c r="AN19" i="24"/>
  <c r="AM19" i="24"/>
  <c r="AL19" i="24"/>
  <c r="AK19" i="24"/>
  <c r="AJ19" i="24"/>
  <c r="AI19" i="24"/>
  <c r="AH19" i="24"/>
  <c r="C19" i="24"/>
  <c r="B19" i="24"/>
  <c r="A19" i="24"/>
  <c r="C18" i="24"/>
  <c r="B18" i="24"/>
  <c r="A18" i="24"/>
  <c r="AT17" i="24"/>
  <c r="AS17" i="24"/>
  <c r="AR17" i="24"/>
  <c r="AQ17" i="24"/>
  <c r="AP17" i="24"/>
  <c r="AO17" i="24"/>
  <c r="AN17" i="24"/>
  <c r="AM17" i="24"/>
  <c r="AL17" i="24"/>
  <c r="AK17" i="24"/>
  <c r="AJ17" i="24"/>
  <c r="AI17" i="24"/>
  <c r="AH17" i="24"/>
  <c r="C17" i="24"/>
  <c r="B17" i="24"/>
  <c r="A17" i="24"/>
  <c r="C16" i="24"/>
  <c r="B16" i="24"/>
  <c r="A16" i="24"/>
  <c r="C15" i="24"/>
  <c r="B15" i="24"/>
  <c r="A15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C14" i="24"/>
  <c r="B14" i="24"/>
  <c r="A14" i="24"/>
  <c r="C13" i="24"/>
  <c r="B13" i="24"/>
  <c r="A13" i="24"/>
  <c r="AT12" i="24"/>
  <c r="AS12" i="24"/>
  <c r="AR12" i="24"/>
  <c r="AQ12" i="24"/>
  <c r="AP12" i="24"/>
  <c r="AO12" i="24"/>
  <c r="AN12" i="24"/>
  <c r="AM12" i="24"/>
  <c r="AL12" i="24"/>
  <c r="AK12" i="24"/>
  <c r="AJ12" i="24"/>
  <c r="AI12" i="24"/>
  <c r="AH12" i="24"/>
  <c r="C12" i="24"/>
  <c r="B12" i="24"/>
  <c r="A12" i="24"/>
  <c r="C11" i="24"/>
  <c r="B11" i="24"/>
  <c r="A11" i="24"/>
  <c r="AH106" i="23"/>
  <c r="AG106" i="23"/>
  <c r="AF106" i="23"/>
  <c r="AE106" i="23"/>
  <c r="AD106" i="23"/>
  <c r="AC106" i="23"/>
  <c r="AB106" i="23"/>
  <c r="AA106" i="23"/>
  <c r="Z106" i="23"/>
  <c r="Y106" i="23"/>
  <c r="X106" i="23"/>
  <c r="W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AH84" i="23"/>
  <c r="AG84" i="23"/>
  <c r="AF84" i="23"/>
  <c r="AE84" i="23"/>
  <c r="AD84" i="23"/>
  <c r="AC84" i="23"/>
  <c r="AB84" i="23"/>
  <c r="AA84" i="23"/>
  <c r="Z84" i="23"/>
  <c r="Y84" i="23"/>
  <c r="X84" i="23"/>
  <c r="W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AU80" i="23"/>
  <c r="AT80" i="23"/>
  <c r="AS80" i="23"/>
  <c r="AR80" i="23"/>
  <c r="AQ80" i="23"/>
  <c r="AP80" i="23"/>
  <c r="AO80" i="23"/>
  <c r="AN80" i="23"/>
  <c r="AM80" i="23"/>
  <c r="AL80" i="23"/>
  <c r="AK80" i="23"/>
  <c r="AJ80" i="23"/>
  <c r="AI80" i="23"/>
  <c r="C80" i="23"/>
  <c r="B80" i="23"/>
  <c r="A80" i="23"/>
  <c r="AU79" i="23"/>
  <c r="AT79" i="23"/>
  <c r="AS79" i="23"/>
  <c r="AR79" i="23"/>
  <c r="AQ79" i="23"/>
  <c r="AP79" i="23"/>
  <c r="AO79" i="23"/>
  <c r="AN79" i="23"/>
  <c r="AM79" i="23"/>
  <c r="AL79" i="23"/>
  <c r="AK79" i="23"/>
  <c r="AJ79" i="23"/>
  <c r="AI79" i="23"/>
  <c r="C79" i="23"/>
  <c r="B79" i="23"/>
  <c r="A79" i="23"/>
  <c r="C78" i="23"/>
  <c r="B78" i="23"/>
  <c r="A78" i="23"/>
  <c r="AU77" i="23"/>
  <c r="AT77" i="23"/>
  <c r="AS77" i="23"/>
  <c r="AR77" i="23"/>
  <c r="AQ77" i="23"/>
  <c r="AP77" i="23"/>
  <c r="AO77" i="23"/>
  <c r="AN77" i="23"/>
  <c r="AM77" i="23"/>
  <c r="AL77" i="23"/>
  <c r="AK77" i="23"/>
  <c r="AJ77" i="23"/>
  <c r="AI77" i="23"/>
  <c r="C77" i="23"/>
  <c r="B77" i="23"/>
  <c r="A77" i="23"/>
  <c r="AU76" i="23"/>
  <c r="AT76" i="23"/>
  <c r="AS76" i="23"/>
  <c r="AR76" i="23"/>
  <c r="AQ76" i="23"/>
  <c r="AP76" i="23"/>
  <c r="AO76" i="23"/>
  <c r="AN76" i="23"/>
  <c r="AM76" i="23"/>
  <c r="AL76" i="23"/>
  <c r="AK76" i="23"/>
  <c r="AJ76" i="23"/>
  <c r="AI76" i="23"/>
  <c r="C76" i="23"/>
  <c r="B76" i="23"/>
  <c r="A76" i="23"/>
  <c r="C75" i="23"/>
  <c r="B75" i="23"/>
  <c r="A75" i="23"/>
  <c r="AH74" i="23"/>
  <c r="AG74" i="23"/>
  <c r="AC74" i="23"/>
  <c r="Z74" i="23"/>
  <c r="Y74" i="23"/>
  <c r="W74" i="23"/>
  <c r="V74" i="23"/>
  <c r="U74" i="23"/>
  <c r="Q74" i="23"/>
  <c r="N74" i="23"/>
  <c r="M74" i="23"/>
  <c r="K74" i="23"/>
  <c r="J74" i="23"/>
  <c r="I74" i="23"/>
  <c r="E74" i="23"/>
  <c r="C74" i="23"/>
  <c r="B74" i="23"/>
  <c r="A74" i="23"/>
  <c r="AH73" i="23"/>
  <c r="AG73" i="23"/>
  <c r="AF73" i="23"/>
  <c r="AE73" i="23"/>
  <c r="AD73" i="23"/>
  <c r="AC73" i="23"/>
  <c r="AB73" i="23"/>
  <c r="AA73" i="23"/>
  <c r="Z73" i="23"/>
  <c r="Y73" i="23"/>
  <c r="X73" i="23"/>
  <c r="W73" i="23"/>
  <c r="V73" i="23"/>
  <c r="U73" i="23"/>
  <c r="T73" i="23"/>
  <c r="S73" i="23"/>
  <c r="R73" i="23"/>
  <c r="Q73" i="23"/>
  <c r="P73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A73" i="23"/>
  <c r="AU72" i="23"/>
  <c r="AT72" i="23"/>
  <c r="AS72" i="23"/>
  <c r="AR72" i="23"/>
  <c r="AQ72" i="23"/>
  <c r="AP72" i="23"/>
  <c r="AO72" i="23"/>
  <c r="AN72" i="23"/>
  <c r="AM72" i="23"/>
  <c r="AL72" i="23"/>
  <c r="AK72" i="23"/>
  <c r="AJ72" i="23"/>
  <c r="AI72" i="23"/>
  <c r="C72" i="23"/>
  <c r="B72" i="23"/>
  <c r="A72" i="23"/>
  <c r="AU71" i="23"/>
  <c r="AT71" i="23"/>
  <c r="AS71" i="23"/>
  <c r="AR71" i="23"/>
  <c r="AQ71" i="23"/>
  <c r="AP71" i="23"/>
  <c r="AO71" i="23"/>
  <c r="AN71" i="23"/>
  <c r="AM71" i="23"/>
  <c r="AL71" i="23"/>
  <c r="AK71" i="23"/>
  <c r="AJ71" i="23"/>
  <c r="AI71" i="23"/>
  <c r="C71" i="23"/>
  <c r="B71" i="23"/>
  <c r="A71" i="23"/>
  <c r="AU70" i="23"/>
  <c r="AT70" i="23"/>
  <c r="AS70" i="23"/>
  <c r="AR70" i="23"/>
  <c r="AQ70" i="23"/>
  <c r="AP70" i="23"/>
  <c r="AO70" i="23"/>
  <c r="AN70" i="23"/>
  <c r="AM70" i="23"/>
  <c r="AL70" i="23"/>
  <c r="AK70" i="23"/>
  <c r="AJ70" i="23"/>
  <c r="AI70" i="23"/>
  <c r="C70" i="23"/>
  <c r="B70" i="23"/>
  <c r="A70" i="23"/>
  <c r="AU69" i="23"/>
  <c r="AT69" i="23"/>
  <c r="AS69" i="23"/>
  <c r="AR69" i="23"/>
  <c r="AQ69" i="23"/>
  <c r="AP69" i="23"/>
  <c r="AO69" i="23"/>
  <c r="AN69" i="23"/>
  <c r="AM69" i="23"/>
  <c r="AL69" i="23"/>
  <c r="AK69" i="23"/>
  <c r="AJ69" i="23"/>
  <c r="AI69" i="23"/>
  <c r="C69" i="23"/>
  <c r="B69" i="23"/>
  <c r="A69" i="23"/>
  <c r="AU68" i="23"/>
  <c r="AT68" i="23"/>
  <c r="AS68" i="23"/>
  <c r="AR68" i="23"/>
  <c r="AQ68" i="23"/>
  <c r="AP68" i="23"/>
  <c r="AO68" i="23"/>
  <c r="AN68" i="23"/>
  <c r="AM68" i="23"/>
  <c r="AL68" i="23"/>
  <c r="AK68" i="23"/>
  <c r="AJ68" i="23"/>
  <c r="AI68" i="23"/>
  <c r="C68" i="23"/>
  <c r="B68" i="23"/>
  <c r="A68" i="23"/>
  <c r="AU67" i="23"/>
  <c r="AT67" i="23"/>
  <c r="AS67" i="23"/>
  <c r="AR67" i="23"/>
  <c r="AQ67" i="23"/>
  <c r="AP67" i="23"/>
  <c r="AO67" i="23"/>
  <c r="AN67" i="23"/>
  <c r="AM67" i="23"/>
  <c r="AL67" i="23"/>
  <c r="AK67" i="23"/>
  <c r="AJ67" i="23"/>
  <c r="AI67" i="23"/>
  <c r="C67" i="23"/>
  <c r="B67" i="23"/>
  <c r="A67" i="23"/>
  <c r="AU66" i="23"/>
  <c r="AT66" i="23"/>
  <c r="AS66" i="23"/>
  <c r="AR66" i="23"/>
  <c r="AQ66" i="23"/>
  <c r="AP66" i="23"/>
  <c r="AO66" i="23"/>
  <c r="AN66" i="23"/>
  <c r="AM66" i="23"/>
  <c r="AL66" i="23"/>
  <c r="AK66" i="23"/>
  <c r="AJ66" i="23"/>
  <c r="AI66" i="23"/>
  <c r="C66" i="23"/>
  <c r="B66" i="23"/>
  <c r="A66" i="23"/>
  <c r="AU65" i="23"/>
  <c r="AT65" i="23"/>
  <c r="AS65" i="23"/>
  <c r="AR65" i="23"/>
  <c r="AQ65" i="23"/>
  <c r="AP65" i="23"/>
  <c r="AO65" i="23"/>
  <c r="AN65" i="23"/>
  <c r="AM65" i="23"/>
  <c r="AL65" i="23"/>
  <c r="AK65" i="23"/>
  <c r="AJ65" i="23"/>
  <c r="AI65" i="23"/>
  <c r="C65" i="23"/>
  <c r="B65" i="23"/>
  <c r="A65" i="23"/>
  <c r="AU64" i="23"/>
  <c r="AT64" i="23"/>
  <c r="AS64" i="23"/>
  <c r="AR64" i="23"/>
  <c r="AQ64" i="23"/>
  <c r="AP64" i="23"/>
  <c r="AO64" i="23"/>
  <c r="AN64" i="23"/>
  <c r="AM64" i="23"/>
  <c r="AL64" i="23"/>
  <c r="AK64" i="23"/>
  <c r="AJ64" i="23"/>
  <c r="AI64" i="23"/>
  <c r="C64" i="23"/>
  <c r="B64" i="23"/>
  <c r="A64" i="23"/>
  <c r="AU63" i="23"/>
  <c r="AT63" i="23"/>
  <c r="AS63" i="23"/>
  <c r="AR63" i="23"/>
  <c r="AQ63" i="23"/>
  <c r="AP63" i="23"/>
  <c r="AO63" i="23"/>
  <c r="AN63" i="23"/>
  <c r="AM63" i="23"/>
  <c r="AL63" i="23"/>
  <c r="AK63" i="23"/>
  <c r="AJ63" i="23"/>
  <c r="AI63" i="23"/>
  <c r="C63" i="23"/>
  <c r="B63" i="23"/>
  <c r="A63" i="23"/>
  <c r="AU62" i="23"/>
  <c r="AT62" i="23"/>
  <c r="AS62" i="23"/>
  <c r="AR62" i="23"/>
  <c r="AQ62" i="23"/>
  <c r="AP62" i="23"/>
  <c r="AO62" i="23"/>
  <c r="AN62" i="23"/>
  <c r="AM62" i="23"/>
  <c r="AL62" i="23"/>
  <c r="AK62" i="23"/>
  <c r="AJ62" i="23"/>
  <c r="AI62" i="23"/>
  <c r="C62" i="23"/>
  <c r="B62" i="23"/>
  <c r="A62" i="23"/>
  <c r="C61" i="23"/>
  <c r="B61" i="23"/>
  <c r="A61" i="23"/>
  <c r="AH60" i="23"/>
  <c r="AG60" i="23"/>
  <c r="AF60" i="23"/>
  <c r="AF74" i="23" s="1"/>
  <c r="AE60" i="23"/>
  <c r="AE74" i="23" s="1"/>
  <c r="AD60" i="23"/>
  <c r="AD74" i="23" s="1"/>
  <c r="AC60" i="23"/>
  <c r="AB60" i="23"/>
  <c r="AB74" i="23" s="1"/>
  <c r="AA60" i="23"/>
  <c r="AA74" i="23" s="1"/>
  <c r="Z60" i="23"/>
  <c r="Y60" i="23"/>
  <c r="X60" i="23"/>
  <c r="X74" i="23" s="1"/>
  <c r="W60" i="23"/>
  <c r="V60" i="23"/>
  <c r="U60" i="23"/>
  <c r="T60" i="23"/>
  <c r="T74" i="23" s="1"/>
  <c r="S60" i="23"/>
  <c r="S74" i="23" s="1"/>
  <c r="R60" i="23"/>
  <c r="R74" i="23" s="1"/>
  <c r="Q60" i="23"/>
  <c r="P60" i="23"/>
  <c r="P74" i="23" s="1"/>
  <c r="O60" i="23"/>
  <c r="O74" i="23" s="1"/>
  <c r="N60" i="23"/>
  <c r="M60" i="23"/>
  <c r="L60" i="23"/>
  <c r="L74" i="23" s="1"/>
  <c r="K60" i="23"/>
  <c r="J60" i="23"/>
  <c r="I60" i="23"/>
  <c r="H60" i="23"/>
  <c r="H74" i="23" s="1"/>
  <c r="G60" i="23"/>
  <c r="G74" i="23" s="1"/>
  <c r="F60" i="23"/>
  <c r="F74" i="23" s="1"/>
  <c r="E60" i="23"/>
  <c r="D60" i="23"/>
  <c r="D74" i="23" s="1"/>
  <c r="C60" i="23"/>
  <c r="B60" i="23"/>
  <c r="A60" i="23"/>
  <c r="AU59" i="23"/>
  <c r="AT59" i="23"/>
  <c r="AS59" i="23"/>
  <c r="AR59" i="23"/>
  <c r="AQ59" i="23"/>
  <c r="AP59" i="23"/>
  <c r="AO59" i="23"/>
  <c r="AN59" i="23"/>
  <c r="AM59" i="23"/>
  <c r="AL59" i="23"/>
  <c r="AK59" i="23"/>
  <c r="AJ59" i="23"/>
  <c r="AI59" i="23"/>
  <c r="C59" i="23"/>
  <c r="B59" i="23"/>
  <c r="A59" i="23"/>
  <c r="AU58" i="23"/>
  <c r="AT58" i="23"/>
  <c r="AS58" i="23"/>
  <c r="AR58" i="23"/>
  <c r="AQ58" i="23"/>
  <c r="AP58" i="23"/>
  <c r="AO58" i="23"/>
  <c r="AN58" i="23"/>
  <c r="AM58" i="23"/>
  <c r="AL58" i="23"/>
  <c r="AK58" i="23"/>
  <c r="AJ58" i="23"/>
  <c r="AI58" i="23"/>
  <c r="C58" i="23"/>
  <c r="B58" i="23"/>
  <c r="A58" i="23"/>
  <c r="AU57" i="23"/>
  <c r="AT57" i="23"/>
  <c r="AS57" i="23"/>
  <c r="AR57" i="23"/>
  <c r="AQ57" i="23"/>
  <c r="AP57" i="23"/>
  <c r="AO57" i="23"/>
  <c r="AN57" i="23"/>
  <c r="AM57" i="23"/>
  <c r="AL57" i="23"/>
  <c r="AK57" i="23"/>
  <c r="AJ57" i="23"/>
  <c r="AI57" i="23"/>
  <c r="C57" i="23"/>
  <c r="B57" i="23"/>
  <c r="A57" i="23"/>
  <c r="AU56" i="23"/>
  <c r="AT56" i="23"/>
  <c r="AS56" i="23"/>
  <c r="AR56" i="23"/>
  <c r="AQ56" i="23"/>
  <c r="AP56" i="23"/>
  <c r="AO56" i="23"/>
  <c r="AN56" i="23"/>
  <c r="AM56" i="23"/>
  <c r="AL56" i="23"/>
  <c r="AK56" i="23"/>
  <c r="AJ56" i="23"/>
  <c r="AI56" i="23"/>
  <c r="C56" i="23"/>
  <c r="B56" i="23"/>
  <c r="A56" i="23"/>
  <c r="AU55" i="23"/>
  <c r="AT55" i="23"/>
  <c r="AS55" i="23"/>
  <c r="AR55" i="23"/>
  <c r="AQ55" i="23"/>
  <c r="AP55" i="23"/>
  <c r="AO55" i="23"/>
  <c r="AN55" i="23"/>
  <c r="AM55" i="23"/>
  <c r="AL55" i="23"/>
  <c r="AK55" i="23"/>
  <c r="AJ55" i="23"/>
  <c r="AI55" i="23"/>
  <c r="C55" i="23"/>
  <c r="B55" i="23"/>
  <c r="A55" i="23"/>
  <c r="AU54" i="23"/>
  <c r="AT54" i="23"/>
  <c r="AS54" i="23"/>
  <c r="AR54" i="23"/>
  <c r="AQ54" i="23"/>
  <c r="AP54" i="23"/>
  <c r="AO54" i="23"/>
  <c r="AN54" i="23"/>
  <c r="AM54" i="23"/>
  <c r="AL54" i="23"/>
  <c r="AK54" i="23"/>
  <c r="AJ54" i="23"/>
  <c r="AI54" i="23"/>
  <c r="C54" i="23"/>
  <c r="B54" i="23"/>
  <c r="A54" i="23"/>
  <c r="AU53" i="23"/>
  <c r="AT53" i="23"/>
  <c r="AS53" i="23"/>
  <c r="AR53" i="23"/>
  <c r="AQ53" i="23"/>
  <c r="AP53" i="23"/>
  <c r="AO53" i="23"/>
  <c r="AN53" i="23"/>
  <c r="AM53" i="23"/>
  <c r="AL53" i="23"/>
  <c r="AK53" i="23"/>
  <c r="AJ53" i="23"/>
  <c r="AI53" i="23"/>
  <c r="C53" i="23"/>
  <c r="B53" i="23"/>
  <c r="A53" i="23"/>
  <c r="AU52" i="23"/>
  <c r="AT52" i="23"/>
  <c r="AS52" i="23"/>
  <c r="AR52" i="23"/>
  <c r="AQ52" i="23"/>
  <c r="AP52" i="23"/>
  <c r="AO52" i="23"/>
  <c r="AN52" i="23"/>
  <c r="AM52" i="23"/>
  <c r="AL52" i="23"/>
  <c r="AK52" i="23"/>
  <c r="AJ52" i="23"/>
  <c r="AI52" i="23"/>
  <c r="C52" i="23"/>
  <c r="B52" i="23"/>
  <c r="A52" i="23"/>
  <c r="AU51" i="23"/>
  <c r="AT51" i="23"/>
  <c r="AS51" i="23"/>
  <c r="AR51" i="23"/>
  <c r="AQ51" i="23"/>
  <c r="AP51" i="23"/>
  <c r="AO51" i="23"/>
  <c r="AN51" i="23"/>
  <c r="AM51" i="23"/>
  <c r="AL51" i="23"/>
  <c r="AK51" i="23"/>
  <c r="AJ51" i="23"/>
  <c r="AI51" i="23"/>
  <c r="C51" i="23"/>
  <c r="B51" i="23"/>
  <c r="A51" i="23"/>
  <c r="AU50" i="23"/>
  <c r="AT50" i="23"/>
  <c r="AS50" i="23"/>
  <c r="AR50" i="23"/>
  <c r="AQ50" i="23"/>
  <c r="AP50" i="23"/>
  <c r="AO50" i="23"/>
  <c r="AN50" i="23"/>
  <c r="AM50" i="23"/>
  <c r="AL50" i="23"/>
  <c r="AK50" i="23"/>
  <c r="AJ50" i="23"/>
  <c r="AI50" i="23"/>
  <c r="C50" i="23"/>
  <c r="B50" i="23"/>
  <c r="A50" i="23"/>
  <c r="C49" i="23"/>
  <c r="B49" i="23"/>
  <c r="A49" i="23"/>
  <c r="AU48" i="23"/>
  <c r="AT48" i="23"/>
  <c r="AS48" i="23"/>
  <c r="AR48" i="23"/>
  <c r="AQ48" i="23"/>
  <c r="AP48" i="23"/>
  <c r="AO48" i="23"/>
  <c r="AN48" i="23"/>
  <c r="AM48" i="23"/>
  <c r="AL48" i="23"/>
  <c r="AK48" i="23"/>
  <c r="AJ48" i="23"/>
  <c r="AI48" i="23"/>
  <c r="C48" i="23"/>
  <c r="B48" i="23"/>
  <c r="A48" i="23"/>
  <c r="AU47" i="23"/>
  <c r="AT47" i="23"/>
  <c r="AS47" i="23"/>
  <c r="AR47" i="23"/>
  <c r="AQ47" i="23"/>
  <c r="AP47" i="23"/>
  <c r="AO47" i="23"/>
  <c r="AN47" i="23"/>
  <c r="AM47" i="23"/>
  <c r="AL47" i="23"/>
  <c r="AK47" i="23"/>
  <c r="AJ47" i="23"/>
  <c r="AI47" i="23"/>
  <c r="C47" i="23"/>
  <c r="B47" i="23"/>
  <c r="A47" i="23"/>
  <c r="C46" i="23"/>
  <c r="B46" i="23"/>
  <c r="A46" i="23"/>
  <c r="AU45" i="23"/>
  <c r="AT45" i="23"/>
  <c r="AS45" i="23"/>
  <c r="AR45" i="23"/>
  <c r="AQ45" i="23"/>
  <c r="AP45" i="23"/>
  <c r="AO45" i="23"/>
  <c r="AN45" i="23"/>
  <c r="AM45" i="23"/>
  <c r="AL45" i="23"/>
  <c r="AK45" i="23"/>
  <c r="AJ45" i="23"/>
  <c r="AI45" i="23"/>
  <c r="C45" i="23"/>
  <c r="B45" i="23"/>
  <c r="A45" i="23"/>
  <c r="AU44" i="23"/>
  <c r="AT44" i="23"/>
  <c r="AS44" i="23"/>
  <c r="AR44" i="23"/>
  <c r="AQ44" i="23"/>
  <c r="AP44" i="23"/>
  <c r="AO44" i="23"/>
  <c r="AN44" i="23"/>
  <c r="AM44" i="23"/>
  <c r="AL44" i="23"/>
  <c r="AK44" i="23"/>
  <c r="AJ44" i="23"/>
  <c r="AI44" i="23"/>
  <c r="C44" i="23"/>
  <c r="B44" i="23"/>
  <c r="A44" i="23"/>
  <c r="C43" i="23"/>
  <c r="B43" i="23"/>
  <c r="A43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C42" i="23"/>
  <c r="B42" i="23"/>
  <c r="A42" i="23"/>
  <c r="C41" i="23"/>
  <c r="B41" i="23"/>
  <c r="A41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C40" i="23"/>
  <c r="B40" i="23"/>
  <c r="A40" i="23"/>
  <c r="C39" i="23"/>
  <c r="B39" i="23"/>
  <c r="A39" i="23"/>
  <c r="C38" i="23"/>
  <c r="B38" i="23"/>
  <c r="A38" i="23"/>
  <c r="AH37" i="23"/>
  <c r="AG37" i="23"/>
  <c r="AF37" i="23"/>
  <c r="AE37" i="23"/>
  <c r="AD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37" i="23"/>
  <c r="AU36" i="23"/>
  <c r="AT36" i="23"/>
  <c r="AS36" i="23"/>
  <c r="AR36" i="23"/>
  <c r="AQ36" i="23"/>
  <c r="AP36" i="23"/>
  <c r="AO36" i="23"/>
  <c r="AN36" i="23"/>
  <c r="AM36" i="23"/>
  <c r="AL36" i="23"/>
  <c r="AK36" i="23"/>
  <c r="AJ36" i="23"/>
  <c r="AI36" i="23"/>
  <c r="C36" i="23"/>
  <c r="B36" i="23"/>
  <c r="A36" i="23"/>
  <c r="C35" i="23"/>
  <c r="B35" i="23"/>
  <c r="A35" i="23"/>
  <c r="AU34" i="23"/>
  <c r="AT34" i="23"/>
  <c r="AS34" i="23"/>
  <c r="AR34" i="23"/>
  <c r="AQ34" i="23"/>
  <c r="AP34" i="23"/>
  <c r="AO34" i="23"/>
  <c r="AN34" i="23"/>
  <c r="AM34" i="23"/>
  <c r="AL34" i="23"/>
  <c r="AK34" i="23"/>
  <c r="AJ34" i="23"/>
  <c r="AI34" i="23"/>
  <c r="C34" i="23"/>
  <c r="B34" i="23"/>
  <c r="A34" i="23"/>
  <c r="AU33" i="23"/>
  <c r="AT33" i="23"/>
  <c r="AS33" i="23"/>
  <c r="AR33" i="23"/>
  <c r="AQ33" i="23"/>
  <c r="AP33" i="23"/>
  <c r="AO33" i="23"/>
  <c r="AN33" i="23"/>
  <c r="AM33" i="23"/>
  <c r="AL33" i="23"/>
  <c r="AK33" i="23"/>
  <c r="AJ33" i="23"/>
  <c r="AI33" i="23"/>
  <c r="C33" i="23"/>
  <c r="B33" i="23"/>
  <c r="A33" i="23"/>
  <c r="C32" i="23"/>
  <c r="B32" i="23"/>
  <c r="A32" i="23"/>
  <c r="AU31" i="23"/>
  <c r="AT31" i="23"/>
  <c r="AS31" i="23"/>
  <c r="AR31" i="23"/>
  <c r="AQ31" i="23"/>
  <c r="AP31" i="23"/>
  <c r="AO31" i="23"/>
  <c r="AN31" i="23"/>
  <c r="AM31" i="23"/>
  <c r="AL31" i="23"/>
  <c r="AK31" i="23"/>
  <c r="AJ31" i="23"/>
  <c r="AI31" i="23"/>
  <c r="C31" i="23"/>
  <c r="B31" i="23"/>
  <c r="A31" i="23"/>
  <c r="C30" i="23"/>
  <c r="B30" i="23"/>
  <c r="A30" i="23"/>
  <c r="AU29" i="23"/>
  <c r="AT29" i="23"/>
  <c r="AS29" i="23"/>
  <c r="AR29" i="23"/>
  <c r="AQ29" i="23"/>
  <c r="AP29" i="23"/>
  <c r="AO29" i="23"/>
  <c r="AN29" i="23"/>
  <c r="AM29" i="23"/>
  <c r="AL29" i="23"/>
  <c r="AK29" i="23"/>
  <c r="AJ29" i="23"/>
  <c r="AI29" i="23"/>
  <c r="C29" i="23"/>
  <c r="B29" i="23"/>
  <c r="A29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C28" i="23"/>
  <c r="B28" i="23"/>
  <c r="A28" i="23"/>
  <c r="AU27" i="23"/>
  <c r="AT27" i="23"/>
  <c r="AS27" i="23"/>
  <c r="AR27" i="23"/>
  <c r="AQ27" i="23"/>
  <c r="AP27" i="23"/>
  <c r="AO27" i="23"/>
  <c r="AN27" i="23"/>
  <c r="AM27" i="23"/>
  <c r="AL27" i="23"/>
  <c r="AK27" i="23"/>
  <c r="AJ27" i="23"/>
  <c r="AI27" i="23"/>
  <c r="C27" i="23"/>
  <c r="B27" i="23"/>
  <c r="A27" i="23"/>
  <c r="AU26" i="23"/>
  <c r="AT26" i="23"/>
  <c r="AS26" i="23"/>
  <c r="AR26" i="23"/>
  <c r="AQ26" i="23"/>
  <c r="AP26" i="23"/>
  <c r="AO26" i="23"/>
  <c r="AN26" i="23"/>
  <c r="AM26" i="23"/>
  <c r="AL26" i="23"/>
  <c r="AK26" i="23"/>
  <c r="AJ26" i="23"/>
  <c r="AI26" i="23"/>
  <c r="C26" i="23"/>
  <c r="B26" i="23"/>
  <c r="A26" i="23"/>
  <c r="C25" i="23"/>
  <c r="B25" i="23"/>
  <c r="A25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C24" i="23"/>
  <c r="B24" i="23"/>
  <c r="A24" i="23"/>
  <c r="AU23" i="23"/>
  <c r="AT23" i="23"/>
  <c r="AS23" i="23"/>
  <c r="AR23" i="23"/>
  <c r="AQ23" i="23"/>
  <c r="AP23" i="23"/>
  <c r="AO23" i="23"/>
  <c r="AN23" i="23"/>
  <c r="AM23" i="23"/>
  <c r="AL23" i="23"/>
  <c r="AK23" i="23"/>
  <c r="AJ23" i="23"/>
  <c r="AI23" i="23"/>
  <c r="C23" i="23"/>
  <c r="B23" i="23"/>
  <c r="A23" i="23"/>
  <c r="C22" i="23"/>
  <c r="B22" i="23"/>
  <c r="A22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C21" i="23"/>
  <c r="B21" i="23"/>
  <c r="A21" i="23"/>
  <c r="C20" i="23"/>
  <c r="B20" i="23"/>
  <c r="A20" i="23"/>
  <c r="AU19" i="23"/>
  <c r="AT19" i="23"/>
  <c r="AS19" i="23"/>
  <c r="AR19" i="23"/>
  <c r="AQ19" i="23"/>
  <c r="AP19" i="23"/>
  <c r="AO19" i="23"/>
  <c r="AN19" i="23"/>
  <c r="AM19" i="23"/>
  <c r="AL19" i="23"/>
  <c r="AK19" i="23"/>
  <c r="AJ19" i="23"/>
  <c r="AI19" i="23"/>
  <c r="C19" i="23"/>
  <c r="B19" i="23"/>
  <c r="A19" i="23"/>
  <c r="C18" i="23"/>
  <c r="B18" i="23"/>
  <c r="A18" i="23"/>
  <c r="AU17" i="23"/>
  <c r="AT17" i="23"/>
  <c r="AS17" i="23"/>
  <c r="AR17" i="23"/>
  <c r="AQ17" i="23"/>
  <c r="AP17" i="23"/>
  <c r="AO17" i="23"/>
  <c r="AN17" i="23"/>
  <c r="AM17" i="23"/>
  <c r="AL17" i="23"/>
  <c r="AK17" i="23"/>
  <c r="AJ17" i="23"/>
  <c r="AI17" i="23"/>
  <c r="C17" i="23"/>
  <c r="B17" i="23"/>
  <c r="A17" i="23"/>
  <c r="C16" i="23"/>
  <c r="B16" i="23"/>
  <c r="A16" i="23"/>
  <c r="C15" i="23"/>
  <c r="B15" i="23"/>
  <c r="A15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C14" i="23"/>
  <c r="B14" i="23"/>
  <c r="A14" i="23"/>
  <c r="C13" i="23"/>
  <c r="B13" i="23"/>
  <c r="A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C12" i="23"/>
  <c r="B12" i="23"/>
  <c r="A12" i="23"/>
  <c r="C11" i="23"/>
  <c r="B11" i="23"/>
  <c r="A11" i="23"/>
  <c r="AG106" i="22"/>
  <c r="AF106" i="22"/>
  <c r="AE106" i="22"/>
  <c r="AD106" i="22"/>
  <c r="AC106" i="22"/>
  <c r="AB106" i="22"/>
  <c r="AA106" i="22"/>
  <c r="Z106" i="22"/>
  <c r="Y106" i="22"/>
  <c r="X106" i="22"/>
  <c r="W106" i="22"/>
  <c r="O106" i="22"/>
  <c r="N106" i="22"/>
  <c r="M106" i="22"/>
  <c r="L106" i="22"/>
  <c r="K106" i="22"/>
  <c r="J106" i="22"/>
  <c r="I106" i="22"/>
  <c r="H106" i="22"/>
  <c r="G106" i="22"/>
  <c r="F106" i="22"/>
  <c r="E106" i="22"/>
  <c r="D106" i="22"/>
  <c r="AG84" i="22"/>
  <c r="AF84" i="22"/>
  <c r="AE84" i="22"/>
  <c r="AD84" i="22"/>
  <c r="AC84" i="22"/>
  <c r="AB84" i="22"/>
  <c r="AA84" i="22"/>
  <c r="Z84" i="22"/>
  <c r="Y84" i="22"/>
  <c r="X84" i="22"/>
  <c r="W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AT80" i="22"/>
  <c r="AS80" i="22"/>
  <c r="AR80" i="22"/>
  <c r="AQ80" i="22"/>
  <c r="AP80" i="22"/>
  <c r="AO80" i="22"/>
  <c r="AN80" i="22"/>
  <c r="AM80" i="22"/>
  <c r="AL80" i="22"/>
  <c r="AK80" i="22"/>
  <c r="AJ80" i="22"/>
  <c r="AI80" i="22"/>
  <c r="AH80" i="22"/>
  <c r="C80" i="22"/>
  <c r="B80" i="22"/>
  <c r="A80" i="22"/>
  <c r="AT79" i="22"/>
  <c r="AS79" i="22"/>
  <c r="AR79" i="22"/>
  <c r="AQ79" i="22"/>
  <c r="AP79" i="22"/>
  <c r="AO79" i="22"/>
  <c r="AN79" i="22"/>
  <c r="AM79" i="22"/>
  <c r="AL79" i="22"/>
  <c r="AK79" i="22"/>
  <c r="AJ79" i="22"/>
  <c r="AI79" i="22"/>
  <c r="AH79" i="22"/>
  <c r="C79" i="22"/>
  <c r="B79" i="22"/>
  <c r="A79" i="22"/>
  <c r="C78" i="22"/>
  <c r="B78" i="22"/>
  <c r="A78" i="22"/>
  <c r="AT77" i="22"/>
  <c r="AS77" i="22"/>
  <c r="AR77" i="22"/>
  <c r="AQ77" i="22"/>
  <c r="AP77" i="22"/>
  <c r="AO77" i="22"/>
  <c r="AN77" i="22"/>
  <c r="AM77" i="22"/>
  <c r="AL77" i="22"/>
  <c r="AK77" i="22"/>
  <c r="AJ77" i="22"/>
  <c r="AI77" i="22"/>
  <c r="AH77" i="22"/>
  <c r="C77" i="22"/>
  <c r="B77" i="22"/>
  <c r="A77" i="22"/>
  <c r="AT76" i="22"/>
  <c r="AS76" i="22"/>
  <c r="AR76" i="22"/>
  <c r="AQ76" i="22"/>
  <c r="AP76" i="22"/>
  <c r="AO76" i="22"/>
  <c r="AN76" i="22"/>
  <c r="AM76" i="22"/>
  <c r="AL76" i="22"/>
  <c r="AK76" i="22"/>
  <c r="AJ76" i="22"/>
  <c r="AI76" i="22"/>
  <c r="AH76" i="22"/>
  <c r="C76" i="22"/>
  <c r="B76" i="22"/>
  <c r="A76" i="22"/>
  <c r="C75" i="22"/>
  <c r="B75" i="22"/>
  <c r="A75" i="22"/>
  <c r="V74" i="22"/>
  <c r="G74" i="22"/>
  <c r="F74" i="22"/>
  <c r="C74" i="22"/>
  <c r="B74" i="22"/>
  <c r="A74" i="22"/>
  <c r="AG73" i="22"/>
  <c r="AF73" i="22"/>
  <c r="AE73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I73" i="22"/>
  <c r="H73" i="22"/>
  <c r="G73" i="22"/>
  <c r="F73" i="22"/>
  <c r="E73" i="22"/>
  <c r="D73" i="22"/>
  <c r="C73" i="22"/>
  <c r="B73" i="22"/>
  <c r="A73" i="22"/>
  <c r="AT72" i="22"/>
  <c r="AS72" i="22"/>
  <c r="AR72" i="22"/>
  <c r="AQ72" i="22"/>
  <c r="AP72" i="22"/>
  <c r="AO72" i="22"/>
  <c r="AN72" i="22"/>
  <c r="AM72" i="22"/>
  <c r="AL72" i="22"/>
  <c r="AK72" i="22"/>
  <c r="AJ72" i="22"/>
  <c r="AI72" i="22"/>
  <c r="AH72" i="22"/>
  <c r="C72" i="22"/>
  <c r="B72" i="22"/>
  <c r="A72" i="22"/>
  <c r="AT71" i="22"/>
  <c r="AS71" i="22"/>
  <c r="AR71" i="22"/>
  <c r="AQ71" i="22"/>
  <c r="AP71" i="22"/>
  <c r="AO71" i="22"/>
  <c r="AN71" i="22"/>
  <c r="AM71" i="22"/>
  <c r="AL71" i="22"/>
  <c r="AK71" i="22"/>
  <c r="AJ71" i="22"/>
  <c r="AI71" i="22"/>
  <c r="AH71" i="22"/>
  <c r="C71" i="22"/>
  <c r="B71" i="22"/>
  <c r="A71" i="22"/>
  <c r="AT70" i="22"/>
  <c r="AS70" i="22"/>
  <c r="AR70" i="22"/>
  <c r="AQ70" i="22"/>
  <c r="AP70" i="22"/>
  <c r="AO70" i="22"/>
  <c r="AN70" i="22"/>
  <c r="AM70" i="22"/>
  <c r="AL70" i="22"/>
  <c r="AK70" i="22"/>
  <c r="AJ70" i="22"/>
  <c r="AI70" i="22"/>
  <c r="AH70" i="22"/>
  <c r="C70" i="22"/>
  <c r="B70" i="22"/>
  <c r="A70" i="22"/>
  <c r="AT69" i="22"/>
  <c r="AS69" i="22"/>
  <c r="AR69" i="22"/>
  <c r="AQ69" i="22"/>
  <c r="AP69" i="22"/>
  <c r="AO69" i="22"/>
  <c r="AN69" i="22"/>
  <c r="AM69" i="22"/>
  <c r="AL69" i="22"/>
  <c r="AK69" i="22"/>
  <c r="AJ69" i="22"/>
  <c r="AI69" i="22"/>
  <c r="AH69" i="22"/>
  <c r="C69" i="22"/>
  <c r="B69" i="22"/>
  <c r="A69" i="22"/>
  <c r="AT68" i="22"/>
  <c r="AS68" i="22"/>
  <c r="AR68" i="22"/>
  <c r="AQ68" i="22"/>
  <c r="AP68" i="22"/>
  <c r="AO68" i="22"/>
  <c r="AN68" i="22"/>
  <c r="AM68" i="22"/>
  <c r="AL68" i="22"/>
  <c r="AK68" i="22"/>
  <c r="AJ68" i="22"/>
  <c r="AI68" i="22"/>
  <c r="AH68" i="22"/>
  <c r="C68" i="22"/>
  <c r="B68" i="22"/>
  <c r="A68" i="22"/>
  <c r="AT67" i="22"/>
  <c r="AS67" i="22"/>
  <c r="AR67" i="22"/>
  <c r="AQ67" i="22"/>
  <c r="AP67" i="22"/>
  <c r="AO67" i="22"/>
  <c r="AN67" i="22"/>
  <c r="AM67" i="22"/>
  <c r="AL67" i="22"/>
  <c r="AK67" i="22"/>
  <c r="AJ67" i="22"/>
  <c r="AI67" i="22"/>
  <c r="AH67" i="22"/>
  <c r="C67" i="22"/>
  <c r="B67" i="22"/>
  <c r="A67" i="22"/>
  <c r="AT66" i="22"/>
  <c r="AS66" i="22"/>
  <c r="AR66" i="22"/>
  <c r="AQ66" i="22"/>
  <c r="AP66" i="22"/>
  <c r="AO66" i="22"/>
  <c r="AN66" i="22"/>
  <c r="AM66" i="22"/>
  <c r="AL66" i="22"/>
  <c r="AK66" i="22"/>
  <c r="AJ66" i="22"/>
  <c r="AI66" i="22"/>
  <c r="AH66" i="22"/>
  <c r="C66" i="22"/>
  <c r="B66" i="22"/>
  <c r="A66" i="22"/>
  <c r="AT65" i="22"/>
  <c r="AS65" i="22"/>
  <c r="AR65" i="22"/>
  <c r="AQ65" i="22"/>
  <c r="AP65" i="22"/>
  <c r="AO65" i="22"/>
  <c r="AN65" i="22"/>
  <c r="AM65" i="22"/>
  <c r="AL65" i="22"/>
  <c r="AK65" i="22"/>
  <c r="AJ65" i="22"/>
  <c r="AI65" i="22"/>
  <c r="AH65" i="22"/>
  <c r="C65" i="22"/>
  <c r="B65" i="22"/>
  <c r="A65" i="22"/>
  <c r="AT64" i="22"/>
  <c r="AS64" i="22"/>
  <c r="AR64" i="22"/>
  <c r="AQ64" i="22"/>
  <c r="AP64" i="22"/>
  <c r="AO64" i="22"/>
  <c r="AN64" i="22"/>
  <c r="AM64" i="22"/>
  <c r="AL64" i="22"/>
  <c r="AK64" i="22"/>
  <c r="AJ64" i="22"/>
  <c r="AI64" i="22"/>
  <c r="AH64" i="22"/>
  <c r="C64" i="22"/>
  <c r="B64" i="22"/>
  <c r="A64" i="22"/>
  <c r="AT63" i="22"/>
  <c r="AS63" i="22"/>
  <c r="AR63" i="22"/>
  <c r="AQ63" i="22"/>
  <c r="AP63" i="22"/>
  <c r="AO63" i="22"/>
  <c r="AN63" i="22"/>
  <c r="AM63" i="22"/>
  <c r="AL63" i="22"/>
  <c r="AK63" i="22"/>
  <c r="AJ63" i="22"/>
  <c r="AI63" i="22"/>
  <c r="AH63" i="22"/>
  <c r="C63" i="22"/>
  <c r="B63" i="22"/>
  <c r="A63" i="22"/>
  <c r="AT62" i="22"/>
  <c r="AS62" i="22"/>
  <c r="AR62" i="22"/>
  <c r="AQ62" i="22"/>
  <c r="AP62" i="22"/>
  <c r="AO62" i="22"/>
  <c r="AN62" i="22"/>
  <c r="AM62" i="22"/>
  <c r="AL62" i="22"/>
  <c r="AK62" i="22"/>
  <c r="AJ62" i="22"/>
  <c r="AI62" i="22"/>
  <c r="AH62" i="22"/>
  <c r="C62" i="22"/>
  <c r="B62" i="22"/>
  <c r="A62" i="22"/>
  <c r="C61" i="22"/>
  <c r="B61" i="22"/>
  <c r="A61" i="22"/>
  <c r="AG60" i="22"/>
  <c r="AG74" i="22" s="1"/>
  <c r="AF60" i="22"/>
  <c r="AF74" i="22" s="1"/>
  <c r="AE60" i="22"/>
  <c r="AE74" i="22" s="1"/>
  <c r="AD60" i="22"/>
  <c r="AD74" i="22" s="1"/>
  <c r="AC60" i="22"/>
  <c r="AC74" i="22" s="1"/>
  <c r="AB60" i="22"/>
  <c r="AB74" i="22" s="1"/>
  <c r="AA60" i="22"/>
  <c r="AA74" i="22" s="1"/>
  <c r="Z60" i="22"/>
  <c r="Z74" i="22" s="1"/>
  <c r="Y60" i="22"/>
  <c r="Y74" i="22" s="1"/>
  <c r="X60" i="22"/>
  <c r="X74" i="22" s="1"/>
  <c r="W60" i="22"/>
  <c r="W74" i="22" s="1"/>
  <c r="V60" i="22"/>
  <c r="U60" i="22"/>
  <c r="U74" i="22" s="1"/>
  <c r="T60" i="22"/>
  <c r="T74" i="22" s="1"/>
  <c r="S60" i="22"/>
  <c r="S74" i="22" s="1"/>
  <c r="R60" i="22"/>
  <c r="R74" i="22" s="1"/>
  <c r="Q60" i="22"/>
  <c r="Q74" i="22" s="1"/>
  <c r="P60" i="22"/>
  <c r="P74" i="22" s="1"/>
  <c r="O60" i="22"/>
  <c r="O74" i="22" s="1"/>
  <c r="N60" i="22"/>
  <c r="N74" i="22" s="1"/>
  <c r="M60" i="22"/>
  <c r="M74" i="22" s="1"/>
  <c r="L60" i="22"/>
  <c r="L74" i="22" s="1"/>
  <c r="K60" i="22"/>
  <c r="K74" i="22" s="1"/>
  <c r="J60" i="22"/>
  <c r="J74" i="22" s="1"/>
  <c r="I60" i="22"/>
  <c r="I74" i="22" s="1"/>
  <c r="H60" i="22"/>
  <c r="H74" i="22" s="1"/>
  <c r="G60" i="22"/>
  <c r="F60" i="22"/>
  <c r="E60" i="22"/>
  <c r="E74" i="22" s="1"/>
  <c r="D60" i="22"/>
  <c r="D74" i="22" s="1"/>
  <c r="C60" i="22"/>
  <c r="B60" i="22"/>
  <c r="A60" i="22"/>
  <c r="AT59" i="22"/>
  <c r="AS59" i="22"/>
  <c r="AR59" i="22"/>
  <c r="AQ59" i="22"/>
  <c r="AP59" i="22"/>
  <c r="AO59" i="22"/>
  <c r="AN59" i="22"/>
  <c r="AM59" i="22"/>
  <c r="AL59" i="22"/>
  <c r="AK59" i="22"/>
  <c r="AJ59" i="22"/>
  <c r="AI59" i="22"/>
  <c r="AH59" i="22"/>
  <c r="C59" i="22"/>
  <c r="B59" i="22"/>
  <c r="A59" i="22"/>
  <c r="AT58" i="22"/>
  <c r="AS58" i="22"/>
  <c r="AR58" i="22"/>
  <c r="AQ58" i="22"/>
  <c r="AP58" i="22"/>
  <c r="AO58" i="22"/>
  <c r="AN58" i="22"/>
  <c r="AM58" i="22"/>
  <c r="AL58" i="22"/>
  <c r="AK58" i="22"/>
  <c r="AJ58" i="22"/>
  <c r="AI58" i="22"/>
  <c r="AH58" i="22"/>
  <c r="C58" i="22"/>
  <c r="B58" i="22"/>
  <c r="A58" i="22"/>
  <c r="AT57" i="22"/>
  <c r="AS57" i="22"/>
  <c r="AR57" i="22"/>
  <c r="AQ57" i="22"/>
  <c r="AP57" i="22"/>
  <c r="AO57" i="22"/>
  <c r="AN57" i="22"/>
  <c r="AM57" i="22"/>
  <c r="AL57" i="22"/>
  <c r="AK57" i="22"/>
  <c r="AJ57" i="22"/>
  <c r="AI57" i="22"/>
  <c r="AH57" i="22"/>
  <c r="C57" i="22"/>
  <c r="B57" i="22"/>
  <c r="A57" i="22"/>
  <c r="AT56" i="22"/>
  <c r="AS56" i="22"/>
  <c r="AR56" i="22"/>
  <c r="AQ56" i="22"/>
  <c r="AP56" i="22"/>
  <c r="AO56" i="22"/>
  <c r="AN56" i="22"/>
  <c r="AM56" i="22"/>
  <c r="AL56" i="22"/>
  <c r="AK56" i="22"/>
  <c r="AJ56" i="22"/>
  <c r="AI56" i="22"/>
  <c r="AH56" i="22"/>
  <c r="C56" i="22"/>
  <c r="B56" i="22"/>
  <c r="A56" i="22"/>
  <c r="AT55" i="22"/>
  <c r="AS55" i="22"/>
  <c r="AR55" i="22"/>
  <c r="AQ55" i="22"/>
  <c r="AP55" i="22"/>
  <c r="AO55" i="22"/>
  <c r="AN55" i="22"/>
  <c r="AM55" i="22"/>
  <c r="AL55" i="22"/>
  <c r="AK55" i="22"/>
  <c r="AJ55" i="22"/>
  <c r="AI55" i="22"/>
  <c r="AH55" i="22"/>
  <c r="C55" i="22"/>
  <c r="B55" i="22"/>
  <c r="A55" i="22"/>
  <c r="AT54" i="22"/>
  <c r="AS54" i="22"/>
  <c r="AR54" i="22"/>
  <c r="AQ54" i="22"/>
  <c r="AP54" i="22"/>
  <c r="AO54" i="22"/>
  <c r="AN54" i="22"/>
  <c r="AM54" i="22"/>
  <c r="AL54" i="22"/>
  <c r="AK54" i="22"/>
  <c r="AJ54" i="22"/>
  <c r="AI54" i="22"/>
  <c r="AH54" i="22"/>
  <c r="C54" i="22"/>
  <c r="B54" i="22"/>
  <c r="A54" i="22"/>
  <c r="AT53" i="22"/>
  <c r="AS53" i="22"/>
  <c r="AR53" i="22"/>
  <c r="AQ53" i="22"/>
  <c r="AP53" i="22"/>
  <c r="AO53" i="22"/>
  <c r="AN53" i="22"/>
  <c r="AM53" i="22"/>
  <c r="AL53" i="22"/>
  <c r="AK53" i="22"/>
  <c r="AJ53" i="22"/>
  <c r="AI53" i="22"/>
  <c r="AH53" i="22"/>
  <c r="C53" i="22"/>
  <c r="B53" i="22"/>
  <c r="A53" i="22"/>
  <c r="AT52" i="22"/>
  <c r="AS52" i="22"/>
  <c r="AR52" i="22"/>
  <c r="AQ52" i="22"/>
  <c r="AP52" i="22"/>
  <c r="AO52" i="22"/>
  <c r="AN52" i="22"/>
  <c r="AM52" i="22"/>
  <c r="AL52" i="22"/>
  <c r="AK52" i="22"/>
  <c r="AJ52" i="22"/>
  <c r="AI52" i="22"/>
  <c r="AH52" i="22"/>
  <c r="C52" i="22"/>
  <c r="B52" i="22"/>
  <c r="A52" i="22"/>
  <c r="AT51" i="22"/>
  <c r="AS51" i="22"/>
  <c r="AR51" i="22"/>
  <c r="AQ51" i="22"/>
  <c r="AP51" i="22"/>
  <c r="AO51" i="22"/>
  <c r="AN51" i="22"/>
  <c r="AM51" i="22"/>
  <c r="AL51" i="22"/>
  <c r="AK51" i="22"/>
  <c r="AJ51" i="22"/>
  <c r="AI51" i="22"/>
  <c r="AH51" i="22"/>
  <c r="C51" i="22"/>
  <c r="B51" i="22"/>
  <c r="A51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H50" i="22"/>
  <c r="C50" i="22"/>
  <c r="B50" i="22"/>
  <c r="A50" i="22"/>
  <c r="C49" i="22"/>
  <c r="B49" i="22"/>
  <c r="A49" i="22"/>
  <c r="AT48" i="22"/>
  <c r="AS48" i="22"/>
  <c r="AR48" i="22"/>
  <c r="AQ48" i="22"/>
  <c r="AP48" i="22"/>
  <c r="AO48" i="22"/>
  <c r="AN48" i="22"/>
  <c r="AM48" i="22"/>
  <c r="AL48" i="22"/>
  <c r="AK48" i="22"/>
  <c r="AJ48" i="22"/>
  <c r="AI48" i="22"/>
  <c r="AH48" i="22"/>
  <c r="C48" i="22"/>
  <c r="B48" i="22"/>
  <c r="A48" i="22"/>
  <c r="AT47" i="22"/>
  <c r="AS47" i="22"/>
  <c r="AR47" i="22"/>
  <c r="AQ47" i="22"/>
  <c r="AP47" i="22"/>
  <c r="AO47" i="22"/>
  <c r="AN47" i="22"/>
  <c r="AM47" i="22"/>
  <c r="AL47" i="22"/>
  <c r="AK47" i="22"/>
  <c r="AJ47" i="22"/>
  <c r="AI47" i="22"/>
  <c r="AH47" i="22"/>
  <c r="C47" i="22"/>
  <c r="B47" i="22"/>
  <c r="A47" i="22"/>
  <c r="C46" i="22"/>
  <c r="B46" i="22"/>
  <c r="A46" i="22"/>
  <c r="AT45" i="22"/>
  <c r="AS45" i="22"/>
  <c r="AR45" i="22"/>
  <c r="AQ45" i="22"/>
  <c r="AP45" i="22"/>
  <c r="AO45" i="22"/>
  <c r="AN45" i="22"/>
  <c r="AM45" i="22"/>
  <c r="AL45" i="22"/>
  <c r="AK45" i="22"/>
  <c r="AJ45" i="22"/>
  <c r="AI45" i="22"/>
  <c r="AH45" i="22"/>
  <c r="C45" i="22"/>
  <c r="B45" i="22"/>
  <c r="A45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C44" i="22"/>
  <c r="B44" i="22"/>
  <c r="A44" i="22"/>
  <c r="C43" i="22"/>
  <c r="B43" i="22"/>
  <c r="A43" i="22"/>
  <c r="AT42" i="22"/>
  <c r="AS42" i="22"/>
  <c r="AR42" i="22"/>
  <c r="AQ42" i="22"/>
  <c r="AP42" i="22"/>
  <c r="AO42" i="22"/>
  <c r="AN42" i="22"/>
  <c r="AM42" i="22"/>
  <c r="AL42" i="22"/>
  <c r="AK42" i="22"/>
  <c r="AJ42" i="22"/>
  <c r="AI42" i="22"/>
  <c r="AH42" i="22"/>
  <c r="C42" i="22"/>
  <c r="B42" i="22"/>
  <c r="A42" i="22"/>
  <c r="C41" i="22"/>
  <c r="B41" i="22"/>
  <c r="A41" i="22"/>
  <c r="AT40" i="22"/>
  <c r="AS40" i="22"/>
  <c r="AR40" i="22"/>
  <c r="AQ40" i="22"/>
  <c r="AP40" i="22"/>
  <c r="AO40" i="22"/>
  <c r="AN40" i="22"/>
  <c r="AM40" i="22"/>
  <c r="AL40" i="22"/>
  <c r="AK40" i="22"/>
  <c r="AJ40" i="22"/>
  <c r="AI40" i="22"/>
  <c r="AH40" i="22"/>
  <c r="C40" i="22"/>
  <c r="B40" i="22"/>
  <c r="A40" i="22"/>
  <c r="C39" i="22"/>
  <c r="B39" i="22"/>
  <c r="A39" i="22"/>
  <c r="C38" i="22"/>
  <c r="B38" i="22"/>
  <c r="A38" i="22"/>
  <c r="AG37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C37" i="22"/>
  <c r="B37" i="22"/>
  <c r="A37" i="22"/>
  <c r="AT36" i="22"/>
  <c r="AS36" i="22"/>
  <c r="AR36" i="22"/>
  <c r="AQ36" i="22"/>
  <c r="AP36" i="22"/>
  <c r="AO36" i="22"/>
  <c r="AN36" i="22"/>
  <c r="AM36" i="22"/>
  <c r="AL36" i="22"/>
  <c r="AK36" i="22"/>
  <c r="AJ36" i="22"/>
  <c r="AI36" i="22"/>
  <c r="AH36" i="22"/>
  <c r="C36" i="22"/>
  <c r="B36" i="22"/>
  <c r="A36" i="22"/>
  <c r="C35" i="22"/>
  <c r="B35" i="22"/>
  <c r="A35" i="22"/>
  <c r="AT34" i="22"/>
  <c r="AS34" i="22"/>
  <c r="AR34" i="22"/>
  <c r="AQ34" i="22"/>
  <c r="AP34" i="22"/>
  <c r="AO34" i="22"/>
  <c r="AN34" i="22"/>
  <c r="AM34" i="22"/>
  <c r="AL34" i="22"/>
  <c r="AK34" i="22"/>
  <c r="AJ34" i="22"/>
  <c r="AI34" i="22"/>
  <c r="AH34" i="22"/>
  <c r="C34" i="22"/>
  <c r="B34" i="22"/>
  <c r="A34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C33" i="22"/>
  <c r="B33" i="22"/>
  <c r="A33" i="22"/>
  <c r="C32" i="22"/>
  <c r="B32" i="22"/>
  <c r="A32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C31" i="22"/>
  <c r="B31" i="22"/>
  <c r="A31" i="22"/>
  <c r="C30" i="22"/>
  <c r="B30" i="22"/>
  <c r="A30" i="22"/>
  <c r="AT29" i="22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C29" i="22"/>
  <c r="B29" i="22"/>
  <c r="A29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C28" i="22"/>
  <c r="B28" i="22"/>
  <c r="A28" i="22"/>
  <c r="AT27" i="22"/>
  <c r="AS27" i="22"/>
  <c r="AR27" i="22"/>
  <c r="AQ27" i="22"/>
  <c r="AP27" i="22"/>
  <c r="AO27" i="22"/>
  <c r="AN27" i="22"/>
  <c r="AM27" i="22"/>
  <c r="AL27" i="22"/>
  <c r="AK27" i="22"/>
  <c r="AJ27" i="22"/>
  <c r="AI27" i="22"/>
  <c r="AH27" i="22"/>
  <c r="C27" i="22"/>
  <c r="B27" i="22"/>
  <c r="A27" i="22"/>
  <c r="AT26" i="22"/>
  <c r="AS26" i="22"/>
  <c r="AR26" i="22"/>
  <c r="AQ26" i="22"/>
  <c r="AP26" i="22"/>
  <c r="AO26" i="22"/>
  <c r="AN26" i="22"/>
  <c r="AM26" i="22"/>
  <c r="AL26" i="22"/>
  <c r="AK26" i="22"/>
  <c r="AJ26" i="22"/>
  <c r="AI26" i="22"/>
  <c r="AH26" i="22"/>
  <c r="C26" i="22"/>
  <c r="B26" i="22"/>
  <c r="A26" i="22"/>
  <c r="C25" i="22"/>
  <c r="B25" i="22"/>
  <c r="A25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C24" i="22"/>
  <c r="B24" i="22"/>
  <c r="A24" i="22"/>
  <c r="AT23" i="22"/>
  <c r="AS23" i="22"/>
  <c r="AR23" i="22"/>
  <c r="AQ23" i="22"/>
  <c r="AP23" i="22"/>
  <c r="AO23" i="22"/>
  <c r="AN23" i="22"/>
  <c r="AM23" i="22"/>
  <c r="AL23" i="22"/>
  <c r="AK23" i="22"/>
  <c r="AJ23" i="22"/>
  <c r="AI23" i="22"/>
  <c r="AH23" i="22"/>
  <c r="C23" i="22"/>
  <c r="B23" i="22"/>
  <c r="A23" i="22"/>
  <c r="C22" i="22"/>
  <c r="B22" i="22"/>
  <c r="A22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C21" i="22"/>
  <c r="B21" i="22"/>
  <c r="A21" i="22"/>
  <c r="C20" i="22"/>
  <c r="B20" i="22"/>
  <c r="A20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C19" i="22"/>
  <c r="B19" i="22"/>
  <c r="A19" i="22"/>
  <c r="C18" i="22"/>
  <c r="B18" i="22"/>
  <c r="A18" i="22"/>
  <c r="AT17" i="22"/>
  <c r="AS17" i="22"/>
  <c r="AR17" i="22"/>
  <c r="AQ17" i="22"/>
  <c r="AP17" i="22"/>
  <c r="AO17" i="22"/>
  <c r="AN17" i="22"/>
  <c r="AM17" i="22"/>
  <c r="AL17" i="22"/>
  <c r="AK17" i="22"/>
  <c r="AJ17" i="22"/>
  <c r="AI17" i="22"/>
  <c r="AH17" i="22"/>
  <c r="C17" i="22"/>
  <c r="B17" i="22"/>
  <c r="A17" i="22"/>
  <c r="C16" i="22"/>
  <c r="B16" i="22"/>
  <c r="A16" i="22"/>
  <c r="C15" i="22"/>
  <c r="B15" i="22"/>
  <c r="A15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C14" i="22"/>
  <c r="B14" i="22"/>
  <c r="A14" i="22"/>
  <c r="C13" i="22"/>
  <c r="B13" i="22"/>
  <c r="A13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C12" i="22"/>
  <c r="B12" i="22"/>
  <c r="A12" i="22"/>
  <c r="C11" i="22"/>
  <c r="B11" i="22"/>
  <c r="A11" i="22"/>
  <c r="AH106" i="21"/>
  <c r="AG106" i="21"/>
  <c r="AF106" i="21"/>
  <c r="AE106" i="21"/>
  <c r="AD106" i="21"/>
  <c r="AC106" i="21"/>
  <c r="AB106" i="21"/>
  <c r="AA106" i="21"/>
  <c r="Z106" i="21"/>
  <c r="Y106" i="21"/>
  <c r="X106" i="21"/>
  <c r="W106" i="21"/>
  <c r="O106" i="21"/>
  <c r="N106" i="21"/>
  <c r="M106" i="21"/>
  <c r="L106" i="21"/>
  <c r="K106" i="21"/>
  <c r="J106" i="21"/>
  <c r="I106" i="21"/>
  <c r="H106" i="21"/>
  <c r="G106" i="21"/>
  <c r="F106" i="21"/>
  <c r="E106" i="21"/>
  <c r="D106" i="21"/>
  <c r="AH84" i="21"/>
  <c r="AG84" i="21"/>
  <c r="AF84" i="21"/>
  <c r="AE84" i="21"/>
  <c r="AD84" i="21"/>
  <c r="AC84" i="21"/>
  <c r="AB84" i="21"/>
  <c r="AA84" i="21"/>
  <c r="Z84" i="21"/>
  <c r="Y84" i="21"/>
  <c r="X84" i="21"/>
  <c r="W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AU80" i="21"/>
  <c r="AT80" i="21"/>
  <c r="AS80" i="21"/>
  <c r="AR80" i="21"/>
  <c r="AQ80" i="21"/>
  <c r="AP80" i="21"/>
  <c r="AO80" i="21"/>
  <c r="AN80" i="21"/>
  <c r="AM80" i="21"/>
  <c r="AL80" i="21"/>
  <c r="AK80" i="21"/>
  <c r="AJ80" i="21"/>
  <c r="AI80" i="21"/>
  <c r="C80" i="21"/>
  <c r="B80" i="21"/>
  <c r="A80" i="21"/>
  <c r="AU79" i="21"/>
  <c r="AT79" i="21"/>
  <c r="AS79" i="21"/>
  <c r="AR79" i="21"/>
  <c r="AQ79" i="21"/>
  <c r="AP79" i="21"/>
  <c r="AO79" i="21"/>
  <c r="AN79" i="21"/>
  <c r="AM79" i="21"/>
  <c r="AL79" i="21"/>
  <c r="AK79" i="21"/>
  <c r="AJ79" i="21"/>
  <c r="AI79" i="21"/>
  <c r="C79" i="21"/>
  <c r="B79" i="21"/>
  <c r="A79" i="21"/>
  <c r="C78" i="21"/>
  <c r="B78" i="21"/>
  <c r="A78" i="21"/>
  <c r="AU77" i="21"/>
  <c r="AT77" i="21"/>
  <c r="AS77" i="21"/>
  <c r="AR77" i="21"/>
  <c r="AQ77" i="21"/>
  <c r="AP77" i="21"/>
  <c r="AO77" i="21"/>
  <c r="AN77" i="21"/>
  <c r="AM77" i="21"/>
  <c r="AL77" i="21"/>
  <c r="AK77" i="21"/>
  <c r="AJ77" i="21"/>
  <c r="AI77" i="21"/>
  <c r="C77" i="21"/>
  <c r="B77" i="21"/>
  <c r="A77" i="21"/>
  <c r="AU76" i="21"/>
  <c r="AT76" i="21"/>
  <c r="AS76" i="21"/>
  <c r="AR76" i="21"/>
  <c r="AQ76" i="21"/>
  <c r="AP76" i="21"/>
  <c r="AO76" i="21"/>
  <c r="AN76" i="21"/>
  <c r="AM76" i="21"/>
  <c r="AL76" i="21"/>
  <c r="AK76" i="21"/>
  <c r="AJ76" i="21"/>
  <c r="AI76" i="21"/>
  <c r="C76" i="21"/>
  <c r="B76" i="21"/>
  <c r="A76" i="21"/>
  <c r="C75" i="21"/>
  <c r="B75" i="21"/>
  <c r="A75" i="21"/>
  <c r="AF74" i="21"/>
  <c r="AE74" i="21"/>
  <c r="AC74" i="21"/>
  <c r="AB74" i="21"/>
  <c r="Q74" i="21"/>
  <c r="P74" i="21"/>
  <c r="K74" i="21"/>
  <c r="G74" i="21"/>
  <c r="D74" i="21"/>
  <c r="C74" i="21"/>
  <c r="B74" i="21"/>
  <c r="A74" i="21"/>
  <c r="AH73" i="21"/>
  <c r="AG73" i="21"/>
  <c r="AF73" i="21"/>
  <c r="AE73" i="21"/>
  <c r="AD73" i="21"/>
  <c r="AC73" i="21"/>
  <c r="AB73" i="21"/>
  <c r="AA73" i="21"/>
  <c r="Z73" i="21"/>
  <c r="Y73" i="21"/>
  <c r="X73" i="21"/>
  <c r="W73" i="21"/>
  <c r="V73" i="21"/>
  <c r="U73" i="21"/>
  <c r="T73" i="21"/>
  <c r="S73" i="21"/>
  <c r="R73" i="21"/>
  <c r="Q73" i="21"/>
  <c r="P73" i="21"/>
  <c r="O73" i="21"/>
  <c r="N73" i="21"/>
  <c r="M73" i="21"/>
  <c r="L73" i="21"/>
  <c r="K73" i="21"/>
  <c r="J73" i="21"/>
  <c r="I73" i="21"/>
  <c r="H73" i="21"/>
  <c r="G73" i="21"/>
  <c r="F73" i="21"/>
  <c r="E73" i="21"/>
  <c r="D73" i="21"/>
  <c r="C73" i="21"/>
  <c r="B73" i="21"/>
  <c r="A73" i="21"/>
  <c r="AU72" i="21"/>
  <c r="AT72" i="21"/>
  <c r="AS72" i="21"/>
  <c r="AR72" i="21"/>
  <c r="AQ72" i="21"/>
  <c r="AP72" i="21"/>
  <c r="AO72" i="21"/>
  <c r="AN72" i="21"/>
  <c r="AM72" i="21"/>
  <c r="AL72" i="21"/>
  <c r="AK72" i="21"/>
  <c r="AJ72" i="21"/>
  <c r="AI72" i="21"/>
  <c r="C72" i="21"/>
  <c r="B72" i="21"/>
  <c r="A72" i="21"/>
  <c r="AU71" i="21"/>
  <c r="AT71" i="21"/>
  <c r="AS71" i="21"/>
  <c r="AR71" i="21"/>
  <c r="AQ71" i="21"/>
  <c r="AP71" i="21"/>
  <c r="AO71" i="21"/>
  <c r="AN71" i="21"/>
  <c r="AM71" i="21"/>
  <c r="AL71" i="21"/>
  <c r="AK71" i="21"/>
  <c r="AJ71" i="21"/>
  <c r="AI71" i="21"/>
  <c r="C71" i="21"/>
  <c r="B71" i="21"/>
  <c r="A71" i="21"/>
  <c r="AU70" i="21"/>
  <c r="AT70" i="21"/>
  <c r="AS70" i="21"/>
  <c r="AR70" i="21"/>
  <c r="AQ70" i="21"/>
  <c r="AP70" i="21"/>
  <c r="AO70" i="21"/>
  <c r="AN70" i="21"/>
  <c r="AM70" i="21"/>
  <c r="AL70" i="21"/>
  <c r="AK70" i="21"/>
  <c r="AJ70" i="21"/>
  <c r="AI70" i="21"/>
  <c r="C70" i="21"/>
  <c r="B70" i="21"/>
  <c r="A70" i="21"/>
  <c r="AU69" i="21"/>
  <c r="AT69" i="21"/>
  <c r="AS69" i="21"/>
  <c r="AR69" i="21"/>
  <c r="AQ69" i="21"/>
  <c r="AP69" i="21"/>
  <c r="AO69" i="21"/>
  <c r="AN69" i="21"/>
  <c r="AM69" i="21"/>
  <c r="AL69" i="21"/>
  <c r="AK69" i="21"/>
  <c r="AJ69" i="21"/>
  <c r="AI69" i="21"/>
  <c r="C69" i="21"/>
  <c r="B69" i="21"/>
  <c r="A69" i="21"/>
  <c r="AU68" i="21"/>
  <c r="AT68" i="21"/>
  <c r="AS68" i="21"/>
  <c r="AR68" i="21"/>
  <c r="AQ68" i="21"/>
  <c r="AP68" i="21"/>
  <c r="AO68" i="21"/>
  <c r="AN68" i="21"/>
  <c r="AM68" i="21"/>
  <c r="AL68" i="21"/>
  <c r="AK68" i="21"/>
  <c r="AJ68" i="21"/>
  <c r="AI68" i="21"/>
  <c r="C68" i="21"/>
  <c r="B68" i="21"/>
  <c r="A68" i="21"/>
  <c r="AU67" i="21"/>
  <c r="AT67" i="21"/>
  <c r="AS67" i="21"/>
  <c r="AR67" i="21"/>
  <c r="AQ67" i="21"/>
  <c r="AP67" i="21"/>
  <c r="AO67" i="21"/>
  <c r="AN67" i="21"/>
  <c r="AM67" i="21"/>
  <c r="AL67" i="21"/>
  <c r="AK67" i="21"/>
  <c r="AJ67" i="21"/>
  <c r="AI67" i="21"/>
  <c r="C67" i="21"/>
  <c r="B67" i="21"/>
  <c r="A67" i="21"/>
  <c r="AU66" i="21"/>
  <c r="AT66" i="21"/>
  <c r="AS66" i="21"/>
  <c r="AR66" i="21"/>
  <c r="AQ66" i="21"/>
  <c r="AP66" i="21"/>
  <c r="AO66" i="21"/>
  <c r="AN66" i="21"/>
  <c r="AM66" i="21"/>
  <c r="AL66" i="21"/>
  <c r="AK66" i="21"/>
  <c r="AJ66" i="21"/>
  <c r="AI66" i="21"/>
  <c r="C66" i="21"/>
  <c r="B66" i="21"/>
  <c r="A66" i="21"/>
  <c r="AU65" i="21"/>
  <c r="AT65" i="21"/>
  <c r="AS65" i="21"/>
  <c r="AR65" i="21"/>
  <c r="AQ65" i="21"/>
  <c r="AP65" i="21"/>
  <c r="AO65" i="21"/>
  <c r="AN65" i="21"/>
  <c r="AM65" i="21"/>
  <c r="AL65" i="21"/>
  <c r="AK65" i="21"/>
  <c r="AJ65" i="21"/>
  <c r="AI65" i="21"/>
  <c r="C65" i="21"/>
  <c r="B65" i="21"/>
  <c r="A65" i="21"/>
  <c r="AU64" i="21"/>
  <c r="AT64" i="21"/>
  <c r="AS64" i="21"/>
  <c r="AR64" i="21"/>
  <c r="AQ64" i="21"/>
  <c r="AP64" i="21"/>
  <c r="AO64" i="21"/>
  <c r="AN64" i="21"/>
  <c r="AM64" i="21"/>
  <c r="AL64" i="21"/>
  <c r="AK64" i="21"/>
  <c r="AJ64" i="21"/>
  <c r="AI64" i="21"/>
  <c r="C64" i="21"/>
  <c r="B64" i="21"/>
  <c r="A64" i="21"/>
  <c r="AU63" i="21"/>
  <c r="AT63" i="21"/>
  <c r="AS63" i="21"/>
  <c r="AR63" i="21"/>
  <c r="AQ63" i="21"/>
  <c r="AP63" i="21"/>
  <c r="AO63" i="21"/>
  <c r="AN63" i="21"/>
  <c r="AM63" i="21"/>
  <c r="AL63" i="21"/>
  <c r="AK63" i="21"/>
  <c r="AJ63" i="21"/>
  <c r="AI63" i="21"/>
  <c r="C63" i="21"/>
  <c r="B63" i="21"/>
  <c r="A63" i="21"/>
  <c r="AU62" i="21"/>
  <c r="AT62" i="21"/>
  <c r="AS62" i="21"/>
  <c r="AR62" i="21"/>
  <c r="AQ62" i="21"/>
  <c r="AP62" i="21"/>
  <c r="AO62" i="21"/>
  <c r="AN62" i="21"/>
  <c r="AM62" i="21"/>
  <c r="AL62" i="21"/>
  <c r="AK62" i="21"/>
  <c r="AJ62" i="21"/>
  <c r="AI62" i="21"/>
  <c r="C62" i="21"/>
  <c r="B62" i="21"/>
  <c r="A62" i="21"/>
  <c r="C61" i="21"/>
  <c r="B61" i="21"/>
  <c r="A61" i="21"/>
  <c r="AH60" i="21"/>
  <c r="AH74" i="21" s="1"/>
  <c r="AG60" i="21"/>
  <c r="AG74" i="21" s="1"/>
  <c r="AF60" i="21"/>
  <c r="AE60" i="21"/>
  <c r="AD60" i="21"/>
  <c r="AD74" i="21" s="1"/>
  <c r="AC60" i="21"/>
  <c r="AB60" i="21"/>
  <c r="AA60" i="21"/>
  <c r="AA74" i="21" s="1"/>
  <c r="Z60" i="21"/>
  <c r="Z74" i="21" s="1"/>
  <c r="Y60" i="21"/>
  <c r="Y74" i="21" s="1"/>
  <c r="X60" i="21"/>
  <c r="X74" i="21" s="1"/>
  <c r="W60" i="21"/>
  <c r="W74" i="21" s="1"/>
  <c r="V60" i="21"/>
  <c r="V74" i="21" s="1"/>
  <c r="U60" i="21"/>
  <c r="U74" i="21" s="1"/>
  <c r="T60" i="21"/>
  <c r="T74" i="21" s="1"/>
  <c r="S60" i="21"/>
  <c r="S74" i="21" s="1"/>
  <c r="R60" i="21"/>
  <c r="R74" i="21" s="1"/>
  <c r="Q60" i="21"/>
  <c r="P60" i="21"/>
  <c r="O60" i="21"/>
  <c r="O74" i="21" s="1"/>
  <c r="N60" i="21"/>
  <c r="N74" i="21" s="1"/>
  <c r="M60" i="21"/>
  <c r="M74" i="21" s="1"/>
  <c r="L60" i="21"/>
  <c r="L74" i="21" s="1"/>
  <c r="K60" i="21"/>
  <c r="J60" i="21"/>
  <c r="J74" i="21" s="1"/>
  <c r="I60" i="21"/>
  <c r="I74" i="21" s="1"/>
  <c r="H60" i="21"/>
  <c r="H74" i="21" s="1"/>
  <c r="G60" i="21"/>
  <c r="F60" i="21"/>
  <c r="F74" i="21" s="1"/>
  <c r="E60" i="21"/>
  <c r="E74" i="21" s="1"/>
  <c r="D60" i="21"/>
  <c r="C60" i="21"/>
  <c r="B60" i="21"/>
  <c r="A60" i="21"/>
  <c r="AU59" i="21"/>
  <c r="AT59" i="21"/>
  <c r="AS59" i="21"/>
  <c r="AR59" i="21"/>
  <c r="AQ59" i="21"/>
  <c r="AP59" i="21"/>
  <c r="AO59" i="21"/>
  <c r="AN59" i="21"/>
  <c r="AM59" i="21"/>
  <c r="AL59" i="21"/>
  <c r="AK59" i="21"/>
  <c r="AJ59" i="21"/>
  <c r="AI59" i="21"/>
  <c r="C59" i="21"/>
  <c r="B59" i="21"/>
  <c r="A59" i="21"/>
  <c r="AU58" i="21"/>
  <c r="AT58" i="21"/>
  <c r="AS58" i="21"/>
  <c r="AR58" i="21"/>
  <c r="AQ58" i="21"/>
  <c r="AP58" i="21"/>
  <c r="AO58" i="21"/>
  <c r="AN58" i="21"/>
  <c r="AM58" i="21"/>
  <c r="AL58" i="21"/>
  <c r="AK58" i="21"/>
  <c r="AJ58" i="21"/>
  <c r="AI58" i="21"/>
  <c r="C58" i="21"/>
  <c r="B58" i="21"/>
  <c r="A58" i="21"/>
  <c r="AU57" i="21"/>
  <c r="AT57" i="21"/>
  <c r="AS57" i="21"/>
  <c r="AR57" i="21"/>
  <c r="AQ57" i="21"/>
  <c r="AP57" i="21"/>
  <c r="AO57" i="21"/>
  <c r="AN57" i="21"/>
  <c r="AM57" i="21"/>
  <c r="AL57" i="21"/>
  <c r="AK57" i="21"/>
  <c r="AJ57" i="21"/>
  <c r="AI57" i="21"/>
  <c r="C57" i="21"/>
  <c r="B57" i="21"/>
  <c r="A57" i="21"/>
  <c r="AU56" i="21"/>
  <c r="AT56" i="21"/>
  <c r="AS56" i="21"/>
  <c r="AR56" i="21"/>
  <c r="AQ56" i="21"/>
  <c r="AP56" i="21"/>
  <c r="AO56" i="21"/>
  <c r="AN56" i="21"/>
  <c r="AM56" i="21"/>
  <c r="AL56" i="21"/>
  <c r="AK56" i="21"/>
  <c r="AJ56" i="21"/>
  <c r="AI56" i="21"/>
  <c r="C56" i="21"/>
  <c r="B56" i="21"/>
  <c r="A56" i="21"/>
  <c r="AU55" i="21"/>
  <c r="AT55" i="21"/>
  <c r="AS55" i="21"/>
  <c r="AR55" i="21"/>
  <c r="AQ55" i="21"/>
  <c r="AP55" i="21"/>
  <c r="AO55" i="21"/>
  <c r="AN55" i="21"/>
  <c r="AM55" i="21"/>
  <c r="AL55" i="21"/>
  <c r="AK55" i="21"/>
  <c r="AJ55" i="21"/>
  <c r="AI55" i="21"/>
  <c r="C55" i="21"/>
  <c r="B55" i="21"/>
  <c r="A55" i="21"/>
  <c r="AU54" i="21"/>
  <c r="AT54" i="21"/>
  <c r="AS54" i="21"/>
  <c r="AR54" i="21"/>
  <c r="AQ54" i="21"/>
  <c r="AP54" i="21"/>
  <c r="AO54" i="21"/>
  <c r="AN54" i="21"/>
  <c r="AM54" i="21"/>
  <c r="AL54" i="21"/>
  <c r="AK54" i="21"/>
  <c r="AJ54" i="21"/>
  <c r="AI54" i="21"/>
  <c r="C54" i="21"/>
  <c r="B54" i="21"/>
  <c r="A54" i="21"/>
  <c r="AU53" i="21"/>
  <c r="AT53" i="21"/>
  <c r="AS53" i="21"/>
  <c r="AR53" i="21"/>
  <c r="AQ53" i="21"/>
  <c r="AP53" i="21"/>
  <c r="AO53" i="21"/>
  <c r="AN53" i="21"/>
  <c r="AM53" i="21"/>
  <c r="AL53" i="21"/>
  <c r="AK53" i="21"/>
  <c r="AJ53" i="21"/>
  <c r="AI53" i="21"/>
  <c r="C53" i="21"/>
  <c r="B53" i="21"/>
  <c r="A53" i="21"/>
  <c r="AU52" i="21"/>
  <c r="AT52" i="21"/>
  <c r="AS52" i="21"/>
  <c r="AR52" i="21"/>
  <c r="AQ52" i="21"/>
  <c r="AP52" i="21"/>
  <c r="AO52" i="21"/>
  <c r="AN52" i="21"/>
  <c r="AM52" i="21"/>
  <c r="AL52" i="21"/>
  <c r="AK52" i="21"/>
  <c r="AJ52" i="21"/>
  <c r="AI52" i="21"/>
  <c r="C52" i="21"/>
  <c r="B52" i="21"/>
  <c r="A52" i="21"/>
  <c r="AU51" i="21"/>
  <c r="AT51" i="21"/>
  <c r="AS51" i="21"/>
  <c r="AR51" i="21"/>
  <c r="AQ51" i="21"/>
  <c r="AP51" i="21"/>
  <c r="AO51" i="21"/>
  <c r="AN51" i="21"/>
  <c r="AM51" i="21"/>
  <c r="AL51" i="21"/>
  <c r="AK51" i="21"/>
  <c r="AJ51" i="21"/>
  <c r="AI51" i="21"/>
  <c r="C51" i="21"/>
  <c r="B51" i="21"/>
  <c r="A51" i="21"/>
  <c r="AU50" i="21"/>
  <c r="AT50" i="21"/>
  <c r="AS50" i="21"/>
  <c r="AR50" i="21"/>
  <c r="AQ50" i="21"/>
  <c r="AP50" i="21"/>
  <c r="AO50" i="21"/>
  <c r="AN50" i="21"/>
  <c r="AM50" i="21"/>
  <c r="AL50" i="21"/>
  <c r="AK50" i="21"/>
  <c r="AJ50" i="21"/>
  <c r="AI50" i="21"/>
  <c r="C50" i="21"/>
  <c r="B50" i="21"/>
  <c r="A50" i="21"/>
  <c r="C49" i="21"/>
  <c r="B49" i="21"/>
  <c r="A49" i="21"/>
  <c r="AU48" i="21"/>
  <c r="AT48" i="21"/>
  <c r="AS48" i="21"/>
  <c r="AR48" i="21"/>
  <c r="AQ48" i="21"/>
  <c r="AP48" i="21"/>
  <c r="AO48" i="21"/>
  <c r="AN48" i="21"/>
  <c r="AM48" i="21"/>
  <c r="AL48" i="21"/>
  <c r="AK48" i="21"/>
  <c r="AJ48" i="21"/>
  <c r="AI48" i="21"/>
  <c r="C48" i="21"/>
  <c r="B48" i="21"/>
  <c r="A48" i="21"/>
  <c r="AU47" i="21"/>
  <c r="AT47" i="21"/>
  <c r="AS47" i="21"/>
  <c r="AR47" i="21"/>
  <c r="AQ47" i="21"/>
  <c r="AP47" i="21"/>
  <c r="AO47" i="21"/>
  <c r="AN47" i="21"/>
  <c r="AM47" i="21"/>
  <c r="AL47" i="21"/>
  <c r="AK47" i="21"/>
  <c r="AJ47" i="21"/>
  <c r="AI47" i="21"/>
  <c r="C47" i="21"/>
  <c r="B47" i="21"/>
  <c r="A47" i="21"/>
  <c r="C46" i="21"/>
  <c r="B46" i="21"/>
  <c r="A46" i="21"/>
  <c r="AU45" i="21"/>
  <c r="AT45" i="21"/>
  <c r="AS45" i="21"/>
  <c r="AR45" i="21"/>
  <c r="AQ45" i="21"/>
  <c r="AP45" i="21"/>
  <c r="AO45" i="21"/>
  <c r="AN45" i="21"/>
  <c r="AM45" i="21"/>
  <c r="AL45" i="21"/>
  <c r="AK45" i="21"/>
  <c r="AJ45" i="21"/>
  <c r="AI45" i="21"/>
  <c r="C45" i="21"/>
  <c r="B45" i="21"/>
  <c r="A45" i="21"/>
  <c r="AU44" i="21"/>
  <c r="AT44" i="21"/>
  <c r="AS44" i="21"/>
  <c r="AR44" i="21"/>
  <c r="AQ44" i="21"/>
  <c r="AP44" i="21"/>
  <c r="AO44" i="21"/>
  <c r="AN44" i="21"/>
  <c r="AM44" i="21"/>
  <c r="AL44" i="21"/>
  <c r="AK44" i="21"/>
  <c r="AJ44" i="21"/>
  <c r="AI44" i="21"/>
  <c r="C44" i="21"/>
  <c r="B44" i="21"/>
  <c r="A44" i="21"/>
  <c r="C43" i="21"/>
  <c r="B43" i="21"/>
  <c r="A43" i="21"/>
  <c r="AU42" i="21"/>
  <c r="AT42" i="21"/>
  <c r="AS42" i="21"/>
  <c r="AR42" i="21"/>
  <c r="AQ42" i="21"/>
  <c r="AP42" i="21"/>
  <c r="AO42" i="21"/>
  <c r="AN42" i="21"/>
  <c r="AM42" i="21"/>
  <c r="AL42" i="21"/>
  <c r="AK42" i="21"/>
  <c r="AJ42" i="21"/>
  <c r="AI42" i="21"/>
  <c r="C42" i="21"/>
  <c r="B42" i="21"/>
  <c r="A42" i="21"/>
  <c r="C41" i="21"/>
  <c r="B41" i="21"/>
  <c r="A41" i="21"/>
  <c r="AU40" i="21"/>
  <c r="AT40" i="21"/>
  <c r="AS40" i="21"/>
  <c r="AR40" i="21"/>
  <c r="AQ40" i="21"/>
  <c r="AP40" i="21"/>
  <c r="AO40" i="21"/>
  <c r="AN40" i="21"/>
  <c r="AM40" i="21"/>
  <c r="AL40" i="21"/>
  <c r="AK40" i="21"/>
  <c r="AJ40" i="21"/>
  <c r="AI40" i="21"/>
  <c r="C40" i="21"/>
  <c r="B40" i="21"/>
  <c r="A40" i="21"/>
  <c r="C39" i="21"/>
  <c r="B39" i="21"/>
  <c r="A39" i="21"/>
  <c r="C38" i="21"/>
  <c r="B38" i="21"/>
  <c r="A38" i="21"/>
  <c r="AH37" i="21"/>
  <c r="AG37" i="21"/>
  <c r="AF37" i="21"/>
  <c r="AE37" i="21"/>
  <c r="AD37" i="21"/>
  <c r="AC37" i="21"/>
  <c r="AB37" i="21"/>
  <c r="AA37" i="21"/>
  <c r="Z37" i="21"/>
  <c r="Y37" i="21"/>
  <c r="X37" i="21"/>
  <c r="W37" i="21"/>
  <c r="V37" i="21"/>
  <c r="U37" i="21"/>
  <c r="T37" i="21"/>
  <c r="S37" i="21"/>
  <c r="R37" i="21"/>
  <c r="Q37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D37" i="21"/>
  <c r="C37" i="21"/>
  <c r="B37" i="21"/>
  <c r="A37" i="21"/>
  <c r="AU36" i="21"/>
  <c r="AT36" i="21"/>
  <c r="AS36" i="21"/>
  <c r="AR36" i="21"/>
  <c r="AQ36" i="21"/>
  <c r="AP36" i="21"/>
  <c r="AO36" i="21"/>
  <c r="AN36" i="21"/>
  <c r="AM36" i="21"/>
  <c r="AL36" i="21"/>
  <c r="AK36" i="21"/>
  <c r="AJ36" i="21"/>
  <c r="AI36" i="21"/>
  <c r="C36" i="21"/>
  <c r="B36" i="21"/>
  <c r="A36" i="21"/>
  <c r="C35" i="21"/>
  <c r="B35" i="21"/>
  <c r="A35" i="21"/>
  <c r="AU34" i="21"/>
  <c r="AT34" i="21"/>
  <c r="AS34" i="21"/>
  <c r="AR34" i="21"/>
  <c r="AQ34" i="21"/>
  <c r="AP34" i="21"/>
  <c r="AO34" i="21"/>
  <c r="AN34" i="21"/>
  <c r="AM34" i="21"/>
  <c r="AL34" i="21"/>
  <c r="AK34" i="21"/>
  <c r="AJ34" i="21"/>
  <c r="AI34" i="21"/>
  <c r="C34" i="21"/>
  <c r="B34" i="21"/>
  <c r="A34" i="21"/>
  <c r="AU33" i="21"/>
  <c r="AT33" i="21"/>
  <c r="AS33" i="21"/>
  <c r="AR33" i="21"/>
  <c r="AQ33" i="21"/>
  <c r="AP33" i="21"/>
  <c r="AO33" i="21"/>
  <c r="AN33" i="21"/>
  <c r="AM33" i="21"/>
  <c r="AL33" i="21"/>
  <c r="AK33" i="21"/>
  <c r="AJ33" i="21"/>
  <c r="AI33" i="21"/>
  <c r="C33" i="21"/>
  <c r="B33" i="21"/>
  <c r="A33" i="21"/>
  <c r="C32" i="21"/>
  <c r="B32" i="21"/>
  <c r="A32" i="21"/>
  <c r="AU31" i="21"/>
  <c r="AT31" i="21"/>
  <c r="AS31" i="21"/>
  <c r="AR31" i="21"/>
  <c r="AQ31" i="21"/>
  <c r="AP31" i="21"/>
  <c r="AO31" i="21"/>
  <c r="AN31" i="21"/>
  <c r="AM31" i="21"/>
  <c r="AL31" i="21"/>
  <c r="AK31" i="21"/>
  <c r="AJ31" i="21"/>
  <c r="AI31" i="21"/>
  <c r="C31" i="21"/>
  <c r="B31" i="21"/>
  <c r="A31" i="21"/>
  <c r="C30" i="21"/>
  <c r="B30" i="21"/>
  <c r="A30" i="21"/>
  <c r="AU29" i="21"/>
  <c r="AT29" i="21"/>
  <c r="AS29" i="21"/>
  <c r="AR29" i="21"/>
  <c r="AQ29" i="21"/>
  <c r="AP29" i="21"/>
  <c r="AO29" i="21"/>
  <c r="AN29" i="21"/>
  <c r="AM29" i="21"/>
  <c r="AL29" i="21"/>
  <c r="AK29" i="21"/>
  <c r="AJ29" i="21"/>
  <c r="AI29" i="21"/>
  <c r="C29" i="21"/>
  <c r="B29" i="21"/>
  <c r="A29" i="21"/>
  <c r="AU28" i="21"/>
  <c r="AT28" i="21"/>
  <c r="AS28" i="21"/>
  <c r="AR28" i="21"/>
  <c r="AQ28" i="21"/>
  <c r="AP28" i="21"/>
  <c r="AO28" i="21"/>
  <c r="AN28" i="21"/>
  <c r="AM28" i="21"/>
  <c r="AL28" i="21"/>
  <c r="AK28" i="21"/>
  <c r="AJ28" i="21"/>
  <c r="AI28" i="21"/>
  <c r="C28" i="21"/>
  <c r="B28" i="21"/>
  <c r="A28" i="21"/>
  <c r="AU27" i="21"/>
  <c r="AT27" i="21"/>
  <c r="AS27" i="21"/>
  <c r="AR27" i="21"/>
  <c r="AQ27" i="21"/>
  <c r="AP27" i="21"/>
  <c r="AO27" i="21"/>
  <c r="AN27" i="21"/>
  <c r="AM27" i="21"/>
  <c r="AL27" i="21"/>
  <c r="AK27" i="21"/>
  <c r="AJ27" i="21"/>
  <c r="AI27" i="21"/>
  <c r="C27" i="21"/>
  <c r="B27" i="21"/>
  <c r="A27" i="21"/>
  <c r="AU26" i="21"/>
  <c r="AT26" i="21"/>
  <c r="AS26" i="21"/>
  <c r="AR26" i="21"/>
  <c r="AQ26" i="21"/>
  <c r="AP26" i="21"/>
  <c r="AO26" i="21"/>
  <c r="AN26" i="21"/>
  <c r="AM26" i="21"/>
  <c r="AL26" i="21"/>
  <c r="AK26" i="21"/>
  <c r="AJ26" i="21"/>
  <c r="AI26" i="21"/>
  <c r="C26" i="21"/>
  <c r="B26" i="21"/>
  <c r="A26" i="21"/>
  <c r="C25" i="21"/>
  <c r="B25" i="21"/>
  <c r="A25" i="21"/>
  <c r="AU24" i="21"/>
  <c r="AT24" i="21"/>
  <c r="AS24" i="21"/>
  <c r="AR24" i="21"/>
  <c r="AQ24" i="21"/>
  <c r="AP24" i="21"/>
  <c r="AO24" i="21"/>
  <c r="AN24" i="21"/>
  <c r="AM24" i="21"/>
  <c r="AL24" i="21"/>
  <c r="AK24" i="21"/>
  <c r="AJ24" i="21"/>
  <c r="AI24" i="21"/>
  <c r="C24" i="21"/>
  <c r="B24" i="21"/>
  <c r="A24" i="21"/>
  <c r="AU23" i="21"/>
  <c r="AT23" i="21"/>
  <c r="AS23" i="21"/>
  <c r="AR23" i="21"/>
  <c r="AQ23" i="21"/>
  <c r="AP23" i="21"/>
  <c r="AO23" i="21"/>
  <c r="AN23" i="21"/>
  <c r="AM23" i="21"/>
  <c r="AL23" i="21"/>
  <c r="AK23" i="21"/>
  <c r="AJ23" i="21"/>
  <c r="AI23" i="21"/>
  <c r="C23" i="21"/>
  <c r="B23" i="21"/>
  <c r="A23" i="21"/>
  <c r="C22" i="21"/>
  <c r="B22" i="21"/>
  <c r="A22" i="21"/>
  <c r="AU21" i="21"/>
  <c r="AT21" i="21"/>
  <c r="AS21" i="21"/>
  <c r="AR21" i="21"/>
  <c r="AQ21" i="21"/>
  <c r="AP21" i="21"/>
  <c r="AO21" i="21"/>
  <c r="AN21" i="21"/>
  <c r="AM21" i="21"/>
  <c r="AL21" i="21"/>
  <c r="AK21" i="21"/>
  <c r="AJ21" i="21"/>
  <c r="AI21" i="21"/>
  <c r="C21" i="21"/>
  <c r="B21" i="21"/>
  <c r="A21" i="21"/>
  <c r="C20" i="21"/>
  <c r="B20" i="21"/>
  <c r="A20" i="21"/>
  <c r="AU19" i="21"/>
  <c r="AT19" i="21"/>
  <c r="AS19" i="21"/>
  <c r="AR19" i="21"/>
  <c r="AQ19" i="21"/>
  <c r="AP19" i="21"/>
  <c r="AO19" i="21"/>
  <c r="AN19" i="21"/>
  <c r="AM19" i="21"/>
  <c r="AL19" i="21"/>
  <c r="AK19" i="21"/>
  <c r="AJ19" i="21"/>
  <c r="AI19" i="21"/>
  <c r="C19" i="21"/>
  <c r="B19" i="21"/>
  <c r="A19" i="21"/>
  <c r="C18" i="21"/>
  <c r="B18" i="21"/>
  <c r="A18" i="21"/>
  <c r="AU17" i="21"/>
  <c r="AT17" i="21"/>
  <c r="AS17" i="21"/>
  <c r="AR17" i="21"/>
  <c r="AQ17" i="21"/>
  <c r="AP17" i="21"/>
  <c r="AO17" i="21"/>
  <c r="AN17" i="21"/>
  <c r="AM17" i="21"/>
  <c r="AL17" i="21"/>
  <c r="AK17" i="21"/>
  <c r="AJ17" i="21"/>
  <c r="AI17" i="21"/>
  <c r="C17" i="21"/>
  <c r="B17" i="21"/>
  <c r="A17" i="21"/>
  <c r="C16" i="21"/>
  <c r="B16" i="21"/>
  <c r="A16" i="21"/>
  <c r="C15" i="21"/>
  <c r="B15" i="21"/>
  <c r="A15" i="21"/>
  <c r="AU14" i="21"/>
  <c r="AT14" i="21"/>
  <c r="AS14" i="21"/>
  <c r="AR14" i="21"/>
  <c r="AQ14" i="21"/>
  <c r="AP14" i="21"/>
  <c r="AO14" i="21"/>
  <c r="AN14" i="21"/>
  <c r="AM14" i="21"/>
  <c r="AL14" i="21"/>
  <c r="AK14" i="21"/>
  <c r="AJ14" i="21"/>
  <c r="AI14" i="21"/>
  <c r="C14" i="21"/>
  <c r="B14" i="21"/>
  <c r="A14" i="21"/>
  <c r="C13" i="21"/>
  <c r="B13" i="21"/>
  <c r="A13" i="21"/>
  <c r="AU12" i="21"/>
  <c r="AT12" i="21"/>
  <c r="AS12" i="21"/>
  <c r="AR12" i="21"/>
  <c r="AQ12" i="21"/>
  <c r="AP12" i="21"/>
  <c r="AO12" i="21"/>
  <c r="AN12" i="21"/>
  <c r="AM12" i="21"/>
  <c r="AL12" i="21"/>
  <c r="AK12" i="21"/>
  <c r="AJ12" i="21"/>
  <c r="AI12" i="21"/>
  <c r="C12" i="21"/>
  <c r="B12" i="21"/>
  <c r="A12" i="21"/>
  <c r="C11" i="21"/>
  <c r="B11" i="21"/>
  <c r="A11" i="21"/>
  <c r="AE106" i="20"/>
  <c r="AD106" i="20"/>
  <c r="AC106" i="20"/>
  <c r="AB106" i="20"/>
  <c r="AA106" i="20"/>
  <c r="Z106" i="20"/>
  <c r="Y106" i="20"/>
  <c r="X106" i="20"/>
  <c r="W106" i="20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AE84" i="20"/>
  <c r="AD84" i="20"/>
  <c r="AC84" i="20"/>
  <c r="AB84" i="20"/>
  <c r="AA84" i="20"/>
  <c r="Z84" i="20"/>
  <c r="Y84" i="20"/>
  <c r="X84" i="20"/>
  <c r="W84" i="20"/>
  <c r="P84" i="20"/>
  <c r="O84" i="20"/>
  <c r="N84" i="20"/>
  <c r="M84" i="20"/>
  <c r="L84" i="20"/>
  <c r="K84" i="20"/>
  <c r="J84" i="20"/>
  <c r="I84" i="20"/>
  <c r="H84" i="20"/>
  <c r="G84" i="20"/>
  <c r="F84" i="20"/>
  <c r="E84" i="20"/>
  <c r="D84" i="20"/>
  <c r="A3" i="32" s="1"/>
  <c r="AR80" i="20"/>
  <c r="AQ80" i="20"/>
  <c r="AP80" i="20"/>
  <c r="AO80" i="20"/>
  <c r="AN80" i="20"/>
  <c r="AM80" i="20"/>
  <c r="AL80" i="20"/>
  <c r="AK80" i="20"/>
  <c r="AJ80" i="20"/>
  <c r="AI80" i="20"/>
  <c r="AH80" i="20"/>
  <c r="AG80" i="20"/>
  <c r="AF80" i="20"/>
  <c r="C80" i="20"/>
  <c r="B80" i="20"/>
  <c r="A80" i="20"/>
  <c r="AR79" i="20"/>
  <c r="AQ79" i="20"/>
  <c r="AP79" i="20"/>
  <c r="AO79" i="20"/>
  <c r="AN79" i="20"/>
  <c r="AM79" i="20"/>
  <c r="AL79" i="20"/>
  <c r="AK79" i="20"/>
  <c r="AJ79" i="20"/>
  <c r="AI79" i="20"/>
  <c r="AH79" i="20"/>
  <c r="AG79" i="20"/>
  <c r="AF79" i="20"/>
  <c r="C79" i="20"/>
  <c r="B79" i="20"/>
  <c r="A79" i="20"/>
  <c r="C78" i="20"/>
  <c r="B78" i="20"/>
  <c r="A78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C77" i="20"/>
  <c r="B77" i="20"/>
  <c r="A77" i="20"/>
  <c r="AR76" i="20"/>
  <c r="AQ76" i="20"/>
  <c r="AP76" i="20"/>
  <c r="AO76" i="20"/>
  <c r="AN76" i="20"/>
  <c r="AM76" i="20"/>
  <c r="AL76" i="20"/>
  <c r="AK76" i="20"/>
  <c r="AJ76" i="20"/>
  <c r="AI76" i="20"/>
  <c r="AH76" i="20"/>
  <c r="AG76" i="20"/>
  <c r="AF76" i="20"/>
  <c r="C76" i="20"/>
  <c r="B76" i="20"/>
  <c r="A76" i="20"/>
  <c r="C75" i="20"/>
  <c r="B75" i="20"/>
  <c r="A75" i="20"/>
  <c r="C74" i="20"/>
  <c r="B74" i="20"/>
  <c r="A74" i="20"/>
  <c r="AE73" i="20"/>
  <c r="AD73" i="20"/>
  <c r="AC73" i="20"/>
  <c r="AB73" i="20"/>
  <c r="AA73" i="20"/>
  <c r="Z73" i="20"/>
  <c r="Y73" i="20"/>
  <c r="X73" i="20"/>
  <c r="W73" i="20"/>
  <c r="V73" i="20"/>
  <c r="U73" i="20"/>
  <c r="T73" i="20"/>
  <c r="S73" i="20"/>
  <c r="R73" i="20"/>
  <c r="Q73" i="20"/>
  <c r="P73" i="20"/>
  <c r="O73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B73" i="20"/>
  <c r="A73" i="20"/>
  <c r="AR72" i="20"/>
  <c r="AQ72" i="20"/>
  <c r="AP72" i="20"/>
  <c r="AO72" i="20"/>
  <c r="AN72" i="20"/>
  <c r="AM72" i="20"/>
  <c r="AL72" i="20"/>
  <c r="AK72" i="20"/>
  <c r="AJ72" i="20"/>
  <c r="AI72" i="20"/>
  <c r="AH72" i="20"/>
  <c r="AG72" i="20"/>
  <c r="AF72" i="20"/>
  <c r="C72" i="20"/>
  <c r="B72" i="20"/>
  <c r="A72" i="20"/>
  <c r="AR71" i="20"/>
  <c r="AQ71" i="20"/>
  <c r="AP71" i="20"/>
  <c r="AO71" i="20"/>
  <c r="AN71" i="20"/>
  <c r="AM71" i="20"/>
  <c r="AL71" i="20"/>
  <c r="AK71" i="20"/>
  <c r="AJ71" i="20"/>
  <c r="AI71" i="20"/>
  <c r="AH71" i="20"/>
  <c r="AG71" i="20"/>
  <c r="AF71" i="20"/>
  <c r="C71" i="20"/>
  <c r="B71" i="20"/>
  <c r="A71" i="20"/>
  <c r="AR70" i="20"/>
  <c r="AQ70" i="20"/>
  <c r="AP70" i="20"/>
  <c r="AO70" i="20"/>
  <c r="AN70" i="20"/>
  <c r="AM70" i="20"/>
  <c r="AL70" i="20"/>
  <c r="AK70" i="20"/>
  <c r="AJ70" i="20"/>
  <c r="AI70" i="20"/>
  <c r="AH70" i="20"/>
  <c r="AG70" i="20"/>
  <c r="AF70" i="20"/>
  <c r="C70" i="20"/>
  <c r="B70" i="20"/>
  <c r="A70" i="20"/>
  <c r="AR69" i="20"/>
  <c r="AQ69" i="20"/>
  <c r="AP69" i="20"/>
  <c r="AO69" i="20"/>
  <c r="AN69" i="20"/>
  <c r="AM69" i="20"/>
  <c r="AL69" i="20"/>
  <c r="AK69" i="20"/>
  <c r="AJ69" i="20"/>
  <c r="AI69" i="20"/>
  <c r="AH69" i="20"/>
  <c r="AG69" i="20"/>
  <c r="AF69" i="20"/>
  <c r="C69" i="20"/>
  <c r="B69" i="20"/>
  <c r="A69" i="20"/>
  <c r="AR68" i="20"/>
  <c r="AQ68" i="20"/>
  <c r="AP68" i="20"/>
  <c r="AO68" i="20"/>
  <c r="AN68" i="20"/>
  <c r="AM68" i="20"/>
  <c r="AL68" i="20"/>
  <c r="AK68" i="20"/>
  <c r="AJ68" i="20"/>
  <c r="AI68" i="20"/>
  <c r="AH68" i="20"/>
  <c r="AG68" i="20"/>
  <c r="AF68" i="20"/>
  <c r="C68" i="20"/>
  <c r="B68" i="20"/>
  <c r="A68" i="20"/>
  <c r="AR67" i="20"/>
  <c r="AQ67" i="20"/>
  <c r="AP67" i="20"/>
  <c r="AO67" i="20"/>
  <c r="AN67" i="20"/>
  <c r="AM67" i="20"/>
  <c r="AL67" i="20"/>
  <c r="AK67" i="20"/>
  <c r="AJ67" i="20"/>
  <c r="AI67" i="20"/>
  <c r="AH67" i="20"/>
  <c r="AG67" i="20"/>
  <c r="AF67" i="20"/>
  <c r="C67" i="20"/>
  <c r="B67" i="20"/>
  <c r="A67" i="20"/>
  <c r="AR66" i="20"/>
  <c r="AQ66" i="20"/>
  <c r="AP66" i="20"/>
  <c r="AO66" i="20"/>
  <c r="AN66" i="20"/>
  <c r="AM66" i="20"/>
  <c r="AL66" i="20"/>
  <c r="AK66" i="20"/>
  <c r="AJ66" i="20"/>
  <c r="AI66" i="20"/>
  <c r="AH66" i="20"/>
  <c r="AG66" i="20"/>
  <c r="AF66" i="20"/>
  <c r="C66" i="20"/>
  <c r="B66" i="20"/>
  <c r="A66" i="20"/>
  <c r="AR65" i="20"/>
  <c r="AQ65" i="20"/>
  <c r="AP65" i="20"/>
  <c r="AO65" i="20"/>
  <c r="AN65" i="20"/>
  <c r="AM65" i="20"/>
  <c r="AL65" i="20"/>
  <c r="AK65" i="20"/>
  <c r="AJ65" i="20"/>
  <c r="AI65" i="20"/>
  <c r="AH65" i="20"/>
  <c r="AG65" i="20"/>
  <c r="AF65" i="20"/>
  <c r="C65" i="20"/>
  <c r="B65" i="20"/>
  <c r="A65" i="20"/>
  <c r="AR64" i="20"/>
  <c r="AQ64" i="20"/>
  <c r="AP64" i="20"/>
  <c r="AO64" i="20"/>
  <c r="AN64" i="20"/>
  <c r="AM64" i="20"/>
  <c r="AL64" i="20"/>
  <c r="AK64" i="20"/>
  <c r="AJ64" i="20"/>
  <c r="AI64" i="20"/>
  <c r="AH64" i="20"/>
  <c r="AG64" i="20"/>
  <c r="AF64" i="20"/>
  <c r="C64" i="20"/>
  <c r="B64" i="20"/>
  <c r="A64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C63" i="20"/>
  <c r="B63" i="20"/>
  <c r="A63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C62" i="20"/>
  <c r="B62" i="20"/>
  <c r="A62" i="20"/>
  <c r="C61" i="20"/>
  <c r="B61" i="20"/>
  <c r="A61" i="20"/>
  <c r="AE60" i="20"/>
  <c r="AE74" i="20" s="1"/>
  <c r="AD60" i="20"/>
  <c r="AD74" i="20" s="1"/>
  <c r="AC60" i="20"/>
  <c r="AC74" i="20" s="1"/>
  <c r="AB60" i="20"/>
  <c r="AB74" i="20" s="1"/>
  <c r="AA60" i="20"/>
  <c r="AA74" i="20" s="1"/>
  <c r="Z60" i="20"/>
  <c r="Z74" i="20" s="1"/>
  <c r="Y60" i="20"/>
  <c r="Y74" i="20" s="1"/>
  <c r="X60" i="20"/>
  <c r="X74" i="20" s="1"/>
  <c r="W60" i="20"/>
  <c r="W74" i="20" s="1"/>
  <c r="V60" i="20"/>
  <c r="V74" i="20" s="1"/>
  <c r="U60" i="20"/>
  <c r="U74" i="20" s="1"/>
  <c r="T60" i="20"/>
  <c r="T74" i="20" s="1"/>
  <c r="S60" i="20"/>
  <c r="S74" i="20" s="1"/>
  <c r="R60" i="20"/>
  <c r="R74" i="20" s="1"/>
  <c r="Q60" i="20"/>
  <c r="Q74" i="20" s="1"/>
  <c r="P60" i="20"/>
  <c r="P74" i="20" s="1"/>
  <c r="O60" i="20"/>
  <c r="O74" i="20" s="1"/>
  <c r="N60" i="20"/>
  <c r="N74" i="20" s="1"/>
  <c r="M60" i="20"/>
  <c r="M74" i="20" s="1"/>
  <c r="L60" i="20"/>
  <c r="L74" i="20" s="1"/>
  <c r="K60" i="20"/>
  <c r="K74" i="20" s="1"/>
  <c r="J60" i="20"/>
  <c r="J74" i="20" s="1"/>
  <c r="I60" i="20"/>
  <c r="I74" i="20" s="1"/>
  <c r="H60" i="20"/>
  <c r="H74" i="20" s="1"/>
  <c r="G60" i="20"/>
  <c r="G74" i="20" s="1"/>
  <c r="F60" i="20"/>
  <c r="F74" i="20" s="1"/>
  <c r="E60" i="20"/>
  <c r="E74" i="20" s="1"/>
  <c r="D60" i="20"/>
  <c r="D74" i="20" s="1"/>
  <c r="C60" i="20"/>
  <c r="B60" i="20"/>
  <c r="A60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C59" i="20"/>
  <c r="B59" i="20"/>
  <c r="A59" i="20"/>
  <c r="AR58" i="20"/>
  <c r="AQ58" i="20"/>
  <c r="AP58" i="20"/>
  <c r="AO58" i="20"/>
  <c r="AN58" i="20"/>
  <c r="AM58" i="20"/>
  <c r="AL58" i="20"/>
  <c r="AK58" i="20"/>
  <c r="AJ58" i="20"/>
  <c r="AI58" i="20"/>
  <c r="AH58" i="20"/>
  <c r="AG58" i="20"/>
  <c r="AF58" i="20"/>
  <c r="C58" i="20"/>
  <c r="B58" i="20"/>
  <c r="A58" i="20"/>
  <c r="AR57" i="20"/>
  <c r="AQ57" i="20"/>
  <c r="AP57" i="20"/>
  <c r="AO57" i="20"/>
  <c r="AN57" i="20"/>
  <c r="AM57" i="20"/>
  <c r="AL57" i="20"/>
  <c r="AK57" i="20"/>
  <c r="AJ57" i="20"/>
  <c r="AI57" i="20"/>
  <c r="AH57" i="20"/>
  <c r="AG57" i="20"/>
  <c r="AF57" i="20"/>
  <c r="C57" i="20"/>
  <c r="B57" i="20"/>
  <c r="A57" i="20"/>
  <c r="AR56" i="20"/>
  <c r="AQ56" i="20"/>
  <c r="AP56" i="20"/>
  <c r="AO56" i="20"/>
  <c r="AN56" i="20"/>
  <c r="AM56" i="20"/>
  <c r="AL56" i="20"/>
  <c r="AK56" i="20"/>
  <c r="AJ56" i="20"/>
  <c r="AI56" i="20"/>
  <c r="AH56" i="20"/>
  <c r="AG56" i="20"/>
  <c r="AF56" i="20"/>
  <c r="C56" i="20"/>
  <c r="B56" i="20"/>
  <c r="A56" i="20"/>
  <c r="AR55" i="20"/>
  <c r="AQ55" i="20"/>
  <c r="AP55" i="20"/>
  <c r="AO55" i="20"/>
  <c r="AN55" i="20"/>
  <c r="AM55" i="20"/>
  <c r="AL55" i="20"/>
  <c r="AK55" i="20"/>
  <c r="AJ55" i="20"/>
  <c r="AI55" i="20"/>
  <c r="AH55" i="20"/>
  <c r="AG55" i="20"/>
  <c r="AF55" i="20"/>
  <c r="C55" i="20"/>
  <c r="B55" i="20"/>
  <c r="A55" i="20"/>
  <c r="AR54" i="20"/>
  <c r="AQ54" i="20"/>
  <c r="AP54" i="20"/>
  <c r="AO54" i="20"/>
  <c r="AN54" i="20"/>
  <c r="AM54" i="20"/>
  <c r="AL54" i="20"/>
  <c r="AK54" i="20"/>
  <c r="AJ54" i="20"/>
  <c r="AI54" i="20"/>
  <c r="AH54" i="20"/>
  <c r="AG54" i="20"/>
  <c r="AF54" i="20"/>
  <c r="C54" i="20"/>
  <c r="B54" i="20"/>
  <c r="A54" i="20"/>
  <c r="AR53" i="20"/>
  <c r="AQ53" i="20"/>
  <c r="AP53" i="20"/>
  <c r="AO53" i="20"/>
  <c r="AN53" i="20"/>
  <c r="AM53" i="20"/>
  <c r="AL53" i="20"/>
  <c r="AK53" i="20"/>
  <c r="AJ53" i="20"/>
  <c r="AI53" i="20"/>
  <c r="AH53" i="20"/>
  <c r="AG53" i="20"/>
  <c r="AF53" i="20"/>
  <c r="C53" i="20"/>
  <c r="B53" i="20"/>
  <c r="A53" i="20"/>
  <c r="AR52" i="20"/>
  <c r="AQ52" i="20"/>
  <c r="AP52" i="20"/>
  <c r="AO52" i="20"/>
  <c r="AN52" i="20"/>
  <c r="AM52" i="20"/>
  <c r="AL52" i="20"/>
  <c r="AK52" i="20"/>
  <c r="AJ52" i="20"/>
  <c r="AI52" i="20"/>
  <c r="AH52" i="20"/>
  <c r="AG52" i="20"/>
  <c r="AF52" i="20"/>
  <c r="C52" i="20"/>
  <c r="B52" i="20"/>
  <c r="A52" i="20"/>
  <c r="AR51" i="20"/>
  <c r="AQ51" i="20"/>
  <c r="AP51" i="20"/>
  <c r="AO51" i="20"/>
  <c r="AN51" i="20"/>
  <c r="AM51" i="20"/>
  <c r="AL51" i="20"/>
  <c r="AK51" i="20"/>
  <c r="AJ51" i="20"/>
  <c r="AI51" i="20"/>
  <c r="AH51" i="20"/>
  <c r="AG51" i="20"/>
  <c r="AF51" i="20"/>
  <c r="C51" i="20"/>
  <c r="B51" i="20"/>
  <c r="A51" i="20"/>
  <c r="AR50" i="20"/>
  <c r="AQ50" i="20"/>
  <c r="AP50" i="20"/>
  <c r="AO50" i="20"/>
  <c r="AN50" i="20"/>
  <c r="AM50" i="20"/>
  <c r="AL50" i="20"/>
  <c r="AK50" i="20"/>
  <c r="AJ50" i="20"/>
  <c r="AI50" i="20"/>
  <c r="AH50" i="20"/>
  <c r="AG50" i="20"/>
  <c r="AF50" i="20"/>
  <c r="C50" i="20"/>
  <c r="B50" i="20"/>
  <c r="A50" i="20"/>
  <c r="C49" i="20"/>
  <c r="B49" i="20"/>
  <c r="A49" i="20"/>
  <c r="AR48" i="20"/>
  <c r="AQ48" i="20"/>
  <c r="AP48" i="20"/>
  <c r="AO48" i="20"/>
  <c r="AN48" i="20"/>
  <c r="AM48" i="20"/>
  <c r="AL48" i="20"/>
  <c r="AK48" i="20"/>
  <c r="AJ48" i="20"/>
  <c r="AI48" i="20"/>
  <c r="AH48" i="20"/>
  <c r="AG48" i="20"/>
  <c r="AF48" i="20"/>
  <c r="C48" i="20"/>
  <c r="B48" i="20"/>
  <c r="A48" i="20"/>
  <c r="AR47" i="20"/>
  <c r="AQ47" i="20"/>
  <c r="AP47" i="20"/>
  <c r="AO47" i="20"/>
  <c r="AN47" i="20"/>
  <c r="AM47" i="20"/>
  <c r="AL47" i="20"/>
  <c r="AK47" i="20"/>
  <c r="AJ47" i="20"/>
  <c r="AI47" i="20"/>
  <c r="AH47" i="20"/>
  <c r="AG47" i="20"/>
  <c r="AF47" i="20"/>
  <c r="C47" i="20"/>
  <c r="B47" i="20"/>
  <c r="A47" i="20"/>
  <c r="C46" i="20"/>
  <c r="B46" i="20"/>
  <c r="A46" i="20"/>
  <c r="AR45" i="20"/>
  <c r="AQ45" i="20"/>
  <c r="AP45" i="20"/>
  <c r="AO45" i="20"/>
  <c r="AN45" i="20"/>
  <c r="AM45" i="20"/>
  <c r="AL45" i="20"/>
  <c r="AK45" i="20"/>
  <c r="AJ45" i="20"/>
  <c r="AI45" i="20"/>
  <c r="AH45" i="20"/>
  <c r="AG45" i="20"/>
  <c r="AF45" i="20"/>
  <c r="C45" i="20"/>
  <c r="B45" i="20"/>
  <c r="A45" i="20"/>
  <c r="AR44" i="20"/>
  <c r="AQ44" i="20"/>
  <c r="AP44" i="20"/>
  <c r="AO44" i="20"/>
  <c r="AN44" i="20"/>
  <c r="AM44" i="20"/>
  <c r="AL44" i="20"/>
  <c r="AK44" i="20"/>
  <c r="AJ44" i="20"/>
  <c r="AI44" i="20"/>
  <c r="AH44" i="20"/>
  <c r="AG44" i="20"/>
  <c r="AF44" i="20"/>
  <c r="C44" i="20"/>
  <c r="B44" i="20"/>
  <c r="A44" i="20"/>
  <c r="C43" i="20"/>
  <c r="B43" i="20"/>
  <c r="A43" i="20"/>
  <c r="AR42" i="20"/>
  <c r="AQ42" i="20"/>
  <c r="AP42" i="20"/>
  <c r="AO42" i="20"/>
  <c r="AN42" i="20"/>
  <c r="AM42" i="20"/>
  <c r="AL42" i="20"/>
  <c r="AK42" i="20"/>
  <c r="AJ42" i="20"/>
  <c r="AI42" i="20"/>
  <c r="AH42" i="20"/>
  <c r="AG42" i="20"/>
  <c r="AF42" i="20"/>
  <c r="C42" i="20"/>
  <c r="B42" i="20"/>
  <c r="A42" i="20"/>
  <c r="C41" i="20"/>
  <c r="B41" i="20"/>
  <c r="A41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C40" i="20"/>
  <c r="B40" i="20"/>
  <c r="A40" i="20"/>
  <c r="C39" i="20"/>
  <c r="B39" i="20"/>
  <c r="A39" i="20"/>
  <c r="C38" i="20"/>
  <c r="B38" i="20"/>
  <c r="A38" i="20"/>
  <c r="AE37" i="20"/>
  <c r="AD37" i="20"/>
  <c r="AC37" i="20"/>
  <c r="AB37" i="20"/>
  <c r="AA37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D37" i="20"/>
  <c r="C37" i="20"/>
  <c r="B37" i="20"/>
  <c r="A37" i="20"/>
  <c r="AR36" i="20"/>
  <c r="AQ36" i="20"/>
  <c r="AP36" i="20"/>
  <c r="AO36" i="20"/>
  <c r="AN36" i="20"/>
  <c r="AM36" i="20"/>
  <c r="AL36" i="20"/>
  <c r="AK36" i="20"/>
  <c r="AJ36" i="20"/>
  <c r="AI36" i="20"/>
  <c r="AH36" i="20"/>
  <c r="AG36" i="20"/>
  <c r="AF36" i="20"/>
  <c r="C36" i="20"/>
  <c r="B36" i="20"/>
  <c r="A36" i="20"/>
  <c r="C35" i="20"/>
  <c r="B35" i="20"/>
  <c r="A35" i="20"/>
  <c r="AR34" i="20"/>
  <c r="AQ34" i="20"/>
  <c r="AP34" i="20"/>
  <c r="AO34" i="20"/>
  <c r="AN34" i="20"/>
  <c r="AM34" i="20"/>
  <c r="AL34" i="20"/>
  <c r="AK34" i="20"/>
  <c r="AJ34" i="20"/>
  <c r="AI34" i="20"/>
  <c r="AH34" i="20"/>
  <c r="AG34" i="20"/>
  <c r="AF34" i="20"/>
  <c r="C34" i="20"/>
  <c r="B34" i="20"/>
  <c r="A34" i="20"/>
  <c r="AR33" i="20"/>
  <c r="AQ33" i="20"/>
  <c r="AP33" i="20"/>
  <c r="AO33" i="20"/>
  <c r="AN33" i="20"/>
  <c r="AM33" i="20"/>
  <c r="AL33" i="20"/>
  <c r="AK33" i="20"/>
  <c r="AJ33" i="20"/>
  <c r="AI33" i="20"/>
  <c r="AH33" i="20"/>
  <c r="AG33" i="20"/>
  <c r="AF33" i="20"/>
  <c r="C33" i="20"/>
  <c r="B33" i="20"/>
  <c r="A33" i="20"/>
  <c r="C32" i="20"/>
  <c r="B32" i="20"/>
  <c r="A32" i="20"/>
  <c r="AR31" i="20"/>
  <c r="AQ31" i="20"/>
  <c r="AP31" i="20"/>
  <c r="AO31" i="20"/>
  <c r="AN31" i="20"/>
  <c r="AM31" i="20"/>
  <c r="AL31" i="20"/>
  <c r="AK31" i="20"/>
  <c r="AJ31" i="20"/>
  <c r="AI31" i="20"/>
  <c r="AH31" i="20"/>
  <c r="AG31" i="20"/>
  <c r="AF31" i="20"/>
  <c r="C31" i="20"/>
  <c r="B31" i="20"/>
  <c r="A31" i="20"/>
  <c r="C30" i="20"/>
  <c r="B30" i="20"/>
  <c r="A30" i="20"/>
  <c r="AR29" i="20"/>
  <c r="AQ29" i="20"/>
  <c r="AP29" i="20"/>
  <c r="AO29" i="20"/>
  <c r="AN29" i="20"/>
  <c r="AM29" i="20"/>
  <c r="AL29" i="20"/>
  <c r="AK29" i="20"/>
  <c r="AJ29" i="20"/>
  <c r="AI29" i="20"/>
  <c r="AH29" i="20"/>
  <c r="AG29" i="20"/>
  <c r="AF29" i="20"/>
  <c r="C29" i="20"/>
  <c r="B29" i="20"/>
  <c r="A29" i="20"/>
  <c r="AR28" i="20"/>
  <c r="AQ28" i="20"/>
  <c r="AP28" i="20"/>
  <c r="AO28" i="20"/>
  <c r="AN28" i="20"/>
  <c r="AM28" i="20"/>
  <c r="AL28" i="20"/>
  <c r="AK28" i="20"/>
  <c r="AJ28" i="20"/>
  <c r="AI28" i="20"/>
  <c r="AH28" i="20"/>
  <c r="AG28" i="20"/>
  <c r="AF28" i="20"/>
  <c r="C28" i="20"/>
  <c r="B28" i="20"/>
  <c r="A28" i="20"/>
  <c r="AR27" i="20"/>
  <c r="AQ27" i="20"/>
  <c r="AP27" i="20"/>
  <c r="AO27" i="20"/>
  <c r="AN27" i="20"/>
  <c r="AM27" i="20"/>
  <c r="AL27" i="20"/>
  <c r="AK27" i="20"/>
  <c r="AJ27" i="20"/>
  <c r="AI27" i="20"/>
  <c r="AH27" i="20"/>
  <c r="AG27" i="20"/>
  <c r="AF27" i="20"/>
  <c r="C27" i="20"/>
  <c r="B27" i="20"/>
  <c r="A27" i="20"/>
  <c r="AR26" i="20"/>
  <c r="AQ26" i="20"/>
  <c r="AP26" i="20"/>
  <c r="AO26" i="20"/>
  <c r="AN26" i="20"/>
  <c r="AM26" i="20"/>
  <c r="AL26" i="20"/>
  <c r="AK26" i="20"/>
  <c r="AJ26" i="20"/>
  <c r="AI26" i="20"/>
  <c r="AH26" i="20"/>
  <c r="AG26" i="20"/>
  <c r="AF26" i="20"/>
  <c r="C26" i="20"/>
  <c r="B26" i="20"/>
  <c r="A26" i="20"/>
  <c r="C25" i="20"/>
  <c r="B25" i="20"/>
  <c r="A25" i="20"/>
  <c r="AR24" i="20"/>
  <c r="AQ24" i="20"/>
  <c r="AP24" i="20"/>
  <c r="AO24" i="20"/>
  <c r="AN24" i="20"/>
  <c r="AM24" i="20"/>
  <c r="AL24" i="20"/>
  <c r="AK24" i="20"/>
  <c r="AJ24" i="20"/>
  <c r="AI24" i="20"/>
  <c r="AH24" i="20"/>
  <c r="AG24" i="20"/>
  <c r="AF24" i="20"/>
  <c r="C24" i="20"/>
  <c r="B24" i="20"/>
  <c r="A24" i="20"/>
  <c r="AR23" i="20"/>
  <c r="AQ23" i="20"/>
  <c r="AP23" i="20"/>
  <c r="AO23" i="20"/>
  <c r="AN23" i="20"/>
  <c r="AM23" i="20"/>
  <c r="AL23" i="20"/>
  <c r="AK23" i="20"/>
  <c r="AJ23" i="20"/>
  <c r="AI23" i="20"/>
  <c r="AH23" i="20"/>
  <c r="AG23" i="20"/>
  <c r="AF23" i="20"/>
  <c r="C23" i="20"/>
  <c r="B23" i="20"/>
  <c r="A23" i="20"/>
  <c r="C22" i="20"/>
  <c r="B22" i="20"/>
  <c r="A22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C21" i="20"/>
  <c r="B21" i="20"/>
  <c r="A21" i="20"/>
  <c r="C20" i="20"/>
  <c r="B20" i="20"/>
  <c r="A20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C19" i="20"/>
  <c r="B19" i="20"/>
  <c r="A19" i="20"/>
  <c r="C18" i="20"/>
  <c r="B18" i="20"/>
  <c r="A18" i="20"/>
  <c r="AR17" i="20"/>
  <c r="AQ17" i="20"/>
  <c r="AP17" i="20"/>
  <c r="AO17" i="20"/>
  <c r="AN17" i="20"/>
  <c r="AM17" i="20"/>
  <c r="AL17" i="20"/>
  <c r="AK17" i="20"/>
  <c r="AJ17" i="20"/>
  <c r="AI17" i="20"/>
  <c r="AH17" i="20"/>
  <c r="AG17" i="20"/>
  <c r="AF17" i="20"/>
  <c r="C17" i="20"/>
  <c r="B17" i="20"/>
  <c r="A17" i="20"/>
  <c r="C16" i="20"/>
  <c r="B16" i="20"/>
  <c r="A16" i="20"/>
  <c r="C15" i="20"/>
  <c r="B15" i="20"/>
  <c r="A15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C14" i="20"/>
  <c r="B14" i="20"/>
  <c r="A14" i="20"/>
  <c r="C13" i="20"/>
  <c r="B13" i="20"/>
  <c r="A13" i="20"/>
  <c r="AR12" i="20"/>
  <c r="AQ12" i="20"/>
  <c r="AP12" i="20"/>
  <c r="AO12" i="20"/>
  <c r="AN12" i="20"/>
  <c r="AM12" i="20"/>
  <c r="AL12" i="20"/>
  <c r="AK12" i="20"/>
  <c r="AJ12" i="20"/>
  <c r="AI12" i="20"/>
  <c r="AH12" i="20"/>
  <c r="AG12" i="20"/>
  <c r="AF12" i="20"/>
  <c r="C12" i="20"/>
  <c r="B12" i="20"/>
  <c r="A12" i="20"/>
  <c r="C11" i="20"/>
  <c r="B11" i="20"/>
  <c r="A11" i="20"/>
  <c r="AH106" i="19"/>
  <c r="AG106" i="19"/>
  <c r="AF106" i="19"/>
  <c r="AE106" i="19"/>
  <c r="AD106" i="19"/>
  <c r="AC106" i="19"/>
  <c r="AB106" i="19"/>
  <c r="AA106" i="19"/>
  <c r="Z106" i="19"/>
  <c r="Y106" i="19"/>
  <c r="X106" i="19"/>
  <c r="W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AU80" i="19"/>
  <c r="AT80" i="19"/>
  <c r="AS80" i="19"/>
  <c r="AR80" i="19"/>
  <c r="AQ80" i="19"/>
  <c r="AP80" i="19"/>
  <c r="AO80" i="19"/>
  <c r="AN80" i="19"/>
  <c r="AM80" i="19"/>
  <c r="AL80" i="19"/>
  <c r="AK80" i="19"/>
  <c r="AJ80" i="19"/>
  <c r="AI80" i="19"/>
  <c r="C80" i="19"/>
  <c r="B80" i="19"/>
  <c r="A80" i="19"/>
  <c r="AU79" i="19"/>
  <c r="AT79" i="19"/>
  <c r="AS79" i="19"/>
  <c r="AR79" i="19"/>
  <c r="AQ79" i="19"/>
  <c r="AP79" i="19"/>
  <c r="AO79" i="19"/>
  <c r="AN79" i="19"/>
  <c r="AM79" i="19"/>
  <c r="AL79" i="19"/>
  <c r="AK79" i="19"/>
  <c r="AJ79" i="19"/>
  <c r="AI79" i="19"/>
  <c r="C79" i="19"/>
  <c r="B79" i="19"/>
  <c r="A79" i="19"/>
  <c r="C78" i="19"/>
  <c r="B78" i="19"/>
  <c r="A78" i="19"/>
  <c r="AU77" i="19"/>
  <c r="AT77" i="19"/>
  <c r="AS77" i="19"/>
  <c r="AR77" i="19"/>
  <c r="AQ77" i="19"/>
  <c r="AP77" i="19"/>
  <c r="AO77" i="19"/>
  <c r="AN77" i="19"/>
  <c r="AM77" i="19"/>
  <c r="AL77" i="19"/>
  <c r="AK77" i="19"/>
  <c r="AJ77" i="19"/>
  <c r="AI77" i="19"/>
  <c r="C77" i="19"/>
  <c r="A77" i="19"/>
  <c r="AU76" i="19"/>
  <c r="AT76" i="19"/>
  <c r="AS76" i="19"/>
  <c r="AR76" i="19"/>
  <c r="AQ76" i="19"/>
  <c r="AP76" i="19"/>
  <c r="AO76" i="19"/>
  <c r="AN76" i="19"/>
  <c r="AM76" i="19"/>
  <c r="AL76" i="19"/>
  <c r="AK76" i="19"/>
  <c r="AJ76" i="19"/>
  <c r="AI76" i="19"/>
  <c r="C76" i="19"/>
  <c r="B76" i="19"/>
  <c r="A76" i="19"/>
  <c r="C75" i="19"/>
  <c r="B75" i="19"/>
  <c r="A75" i="19"/>
  <c r="AH74" i="19"/>
  <c r="N74" i="19"/>
  <c r="M74" i="19"/>
  <c r="C74" i="19"/>
  <c r="B74" i="19"/>
  <c r="A74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A73" i="19"/>
  <c r="AU72" i="19"/>
  <c r="AT72" i="19"/>
  <c r="AS72" i="19"/>
  <c r="AR72" i="19"/>
  <c r="AQ72" i="19"/>
  <c r="AP72" i="19"/>
  <c r="AO72" i="19"/>
  <c r="AN72" i="19"/>
  <c r="AM72" i="19"/>
  <c r="AL72" i="19"/>
  <c r="AK72" i="19"/>
  <c r="AJ72" i="19"/>
  <c r="AI72" i="19"/>
  <c r="C72" i="19"/>
  <c r="B72" i="19"/>
  <c r="A72" i="19"/>
  <c r="AU71" i="19"/>
  <c r="AT71" i="19"/>
  <c r="AS71" i="19"/>
  <c r="AR71" i="19"/>
  <c r="AQ71" i="19"/>
  <c r="AP71" i="19"/>
  <c r="AO71" i="19"/>
  <c r="AN71" i="19"/>
  <c r="AM71" i="19"/>
  <c r="AL71" i="19"/>
  <c r="AK71" i="19"/>
  <c r="AJ71" i="19"/>
  <c r="AI71" i="19"/>
  <c r="C71" i="19"/>
  <c r="B71" i="19"/>
  <c r="A71" i="19"/>
  <c r="AU70" i="19"/>
  <c r="AT70" i="19"/>
  <c r="AS70" i="19"/>
  <c r="AR70" i="19"/>
  <c r="AQ70" i="19"/>
  <c r="AP70" i="19"/>
  <c r="AO70" i="19"/>
  <c r="AN70" i="19"/>
  <c r="AM70" i="19"/>
  <c r="AL70" i="19"/>
  <c r="AK70" i="19"/>
  <c r="AJ70" i="19"/>
  <c r="AI70" i="19"/>
  <c r="C70" i="19"/>
  <c r="B70" i="19"/>
  <c r="A70" i="19"/>
  <c r="AU69" i="19"/>
  <c r="AT69" i="19"/>
  <c r="AS69" i="19"/>
  <c r="AR69" i="19"/>
  <c r="AQ69" i="19"/>
  <c r="AP69" i="19"/>
  <c r="AO69" i="19"/>
  <c r="AN69" i="19"/>
  <c r="AM69" i="19"/>
  <c r="AL69" i="19"/>
  <c r="AK69" i="19"/>
  <c r="AJ69" i="19"/>
  <c r="AI69" i="19"/>
  <c r="C69" i="19"/>
  <c r="B69" i="19"/>
  <c r="A69" i="19"/>
  <c r="AU68" i="19"/>
  <c r="AT68" i="19"/>
  <c r="AS68" i="19"/>
  <c r="AR68" i="19"/>
  <c r="AQ68" i="19"/>
  <c r="AP68" i="19"/>
  <c r="AO68" i="19"/>
  <c r="AN68" i="19"/>
  <c r="AM68" i="19"/>
  <c r="AL68" i="19"/>
  <c r="AK68" i="19"/>
  <c r="AJ68" i="19"/>
  <c r="AI68" i="19"/>
  <c r="C68" i="19"/>
  <c r="B68" i="19"/>
  <c r="A68" i="19"/>
  <c r="AU67" i="19"/>
  <c r="AT67" i="19"/>
  <c r="AS67" i="19"/>
  <c r="AR67" i="19"/>
  <c r="AQ67" i="19"/>
  <c r="AP67" i="19"/>
  <c r="AO67" i="19"/>
  <c r="AN67" i="19"/>
  <c r="AM67" i="19"/>
  <c r="AL67" i="19"/>
  <c r="AK67" i="19"/>
  <c r="AJ67" i="19"/>
  <c r="AI67" i="19"/>
  <c r="C67" i="19"/>
  <c r="B67" i="19"/>
  <c r="A67" i="19"/>
  <c r="AU66" i="19"/>
  <c r="AT66" i="19"/>
  <c r="AS66" i="19"/>
  <c r="AR66" i="19"/>
  <c r="AQ66" i="19"/>
  <c r="AP66" i="19"/>
  <c r="AO66" i="19"/>
  <c r="AN66" i="19"/>
  <c r="AM66" i="19"/>
  <c r="AL66" i="19"/>
  <c r="AK66" i="19"/>
  <c r="AJ66" i="19"/>
  <c r="AI66" i="19"/>
  <c r="C66" i="19"/>
  <c r="B66" i="19"/>
  <c r="A66" i="19"/>
  <c r="AU65" i="19"/>
  <c r="AT65" i="19"/>
  <c r="AS65" i="19"/>
  <c r="AR65" i="19"/>
  <c r="AQ65" i="19"/>
  <c r="AP65" i="19"/>
  <c r="AO65" i="19"/>
  <c r="AN65" i="19"/>
  <c r="AM65" i="19"/>
  <c r="AL65" i="19"/>
  <c r="AK65" i="19"/>
  <c r="AJ65" i="19"/>
  <c r="AI65" i="19"/>
  <c r="C65" i="19"/>
  <c r="B65" i="19"/>
  <c r="A65" i="19"/>
  <c r="AU64" i="19"/>
  <c r="AT64" i="19"/>
  <c r="AS64" i="19"/>
  <c r="AR64" i="19"/>
  <c r="AQ64" i="19"/>
  <c r="AP64" i="19"/>
  <c r="AO64" i="19"/>
  <c r="AN64" i="19"/>
  <c r="AM64" i="19"/>
  <c r="AL64" i="19"/>
  <c r="AK64" i="19"/>
  <c r="AJ64" i="19"/>
  <c r="AI64" i="19"/>
  <c r="C64" i="19"/>
  <c r="B64" i="19"/>
  <c r="A64" i="19"/>
  <c r="AU63" i="19"/>
  <c r="AT63" i="19"/>
  <c r="AS63" i="19"/>
  <c r="AR63" i="19"/>
  <c r="AQ63" i="19"/>
  <c r="AP63" i="19"/>
  <c r="AO63" i="19"/>
  <c r="AN63" i="19"/>
  <c r="AM63" i="19"/>
  <c r="AL63" i="19"/>
  <c r="AK63" i="19"/>
  <c r="AJ63" i="19"/>
  <c r="AI63" i="19"/>
  <c r="C63" i="19"/>
  <c r="B63" i="19"/>
  <c r="A63" i="19"/>
  <c r="AU62" i="19"/>
  <c r="AT62" i="19"/>
  <c r="AS62" i="19"/>
  <c r="AR62" i="19"/>
  <c r="AQ62" i="19"/>
  <c r="AP62" i="19"/>
  <c r="AO62" i="19"/>
  <c r="AN62" i="19"/>
  <c r="AM62" i="19"/>
  <c r="AL62" i="19"/>
  <c r="AK62" i="19"/>
  <c r="AJ62" i="19"/>
  <c r="AI62" i="19"/>
  <c r="C62" i="19"/>
  <c r="B62" i="19"/>
  <c r="A62" i="19"/>
  <c r="C61" i="19"/>
  <c r="B61" i="19"/>
  <c r="A61" i="19"/>
  <c r="AH60" i="19"/>
  <c r="AG60" i="19"/>
  <c r="AG74" i="19" s="1"/>
  <c r="AF60" i="19"/>
  <c r="AF74" i="19" s="1"/>
  <c r="AE60" i="19"/>
  <c r="AE74" i="19" s="1"/>
  <c r="AD60" i="19"/>
  <c r="AD74" i="19" s="1"/>
  <c r="AC60" i="19"/>
  <c r="AC74" i="19" s="1"/>
  <c r="AB60" i="19"/>
  <c r="AB74" i="19" s="1"/>
  <c r="AA60" i="19"/>
  <c r="AA74" i="19" s="1"/>
  <c r="Z60" i="19"/>
  <c r="Z74" i="19" s="1"/>
  <c r="Y60" i="19"/>
  <c r="Y74" i="19" s="1"/>
  <c r="X60" i="19"/>
  <c r="X74" i="19" s="1"/>
  <c r="W60" i="19"/>
  <c r="W74" i="19" s="1"/>
  <c r="V60" i="19"/>
  <c r="V74" i="19" s="1"/>
  <c r="U60" i="19"/>
  <c r="U74" i="19" s="1"/>
  <c r="T60" i="19"/>
  <c r="T74" i="19" s="1"/>
  <c r="S60" i="19"/>
  <c r="S74" i="19" s="1"/>
  <c r="R60" i="19"/>
  <c r="R74" i="19" s="1"/>
  <c r="Q60" i="19"/>
  <c r="Q74" i="19" s="1"/>
  <c r="P60" i="19"/>
  <c r="P74" i="19" s="1"/>
  <c r="O60" i="19"/>
  <c r="O74" i="19" s="1"/>
  <c r="N60" i="19"/>
  <c r="M60" i="19"/>
  <c r="L60" i="19"/>
  <c r="L74" i="19" s="1"/>
  <c r="K60" i="19"/>
  <c r="K74" i="19" s="1"/>
  <c r="J60" i="19"/>
  <c r="J74" i="19" s="1"/>
  <c r="I60" i="19"/>
  <c r="I74" i="19" s="1"/>
  <c r="H60" i="19"/>
  <c r="H74" i="19" s="1"/>
  <c r="G60" i="19"/>
  <c r="G74" i="19" s="1"/>
  <c r="F60" i="19"/>
  <c r="F74" i="19" s="1"/>
  <c r="E60" i="19"/>
  <c r="E74" i="19" s="1"/>
  <c r="D60" i="19"/>
  <c r="D74" i="19" s="1"/>
  <c r="C60" i="19"/>
  <c r="B60" i="19"/>
  <c r="A60" i="19"/>
  <c r="AU59" i="19"/>
  <c r="AT59" i="19"/>
  <c r="AS59" i="19"/>
  <c r="AR59" i="19"/>
  <c r="AQ59" i="19"/>
  <c r="AP59" i="19"/>
  <c r="AO59" i="19"/>
  <c r="AN59" i="19"/>
  <c r="AM59" i="19"/>
  <c r="AL59" i="19"/>
  <c r="AK59" i="19"/>
  <c r="AJ59" i="19"/>
  <c r="AI59" i="19"/>
  <c r="C59" i="19"/>
  <c r="B59" i="19"/>
  <c r="A59" i="19"/>
  <c r="AU58" i="19"/>
  <c r="AT58" i="19"/>
  <c r="AS58" i="19"/>
  <c r="AR58" i="19"/>
  <c r="AQ58" i="19"/>
  <c r="AP58" i="19"/>
  <c r="AO58" i="19"/>
  <c r="AN58" i="19"/>
  <c r="AM58" i="19"/>
  <c r="AL58" i="19"/>
  <c r="AK58" i="19"/>
  <c r="AJ58" i="19"/>
  <c r="AI58" i="19"/>
  <c r="C58" i="19"/>
  <c r="B58" i="19"/>
  <c r="A58" i="19"/>
  <c r="AU57" i="19"/>
  <c r="AT57" i="19"/>
  <c r="AS57" i="19"/>
  <c r="AR57" i="19"/>
  <c r="AQ57" i="19"/>
  <c r="AP57" i="19"/>
  <c r="AO57" i="19"/>
  <c r="AN57" i="19"/>
  <c r="AM57" i="19"/>
  <c r="AL57" i="19"/>
  <c r="AK57" i="19"/>
  <c r="AJ57" i="19"/>
  <c r="AI57" i="19"/>
  <c r="C57" i="19"/>
  <c r="B57" i="19"/>
  <c r="A57" i="19"/>
  <c r="AU56" i="19"/>
  <c r="AT56" i="19"/>
  <c r="AS56" i="19"/>
  <c r="AR56" i="19"/>
  <c r="AQ56" i="19"/>
  <c r="AP56" i="19"/>
  <c r="AO56" i="19"/>
  <c r="AN56" i="19"/>
  <c r="AM56" i="19"/>
  <c r="AL56" i="19"/>
  <c r="AK56" i="19"/>
  <c r="AJ56" i="19"/>
  <c r="AI56" i="19"/>
  <c r="C56" i="19"/>
  <c r="B56" i="19"/>
  <c r="A56" i="19"/>
  <c r="AU55" i="19"/>
  <c r="AT55" i="19"/>
  <c r="AS55" i="19"/>
  <c r="AR55" i="19"/>
  <c r="AQ55" i="19"/>
  <c r="AP55" i="19"/>
  <c r="AO55" i="19"/>
  <c r="AN55" i="19"/>
  <c r="AM55" i="19"/>
  <c r="AL55" i="19"/>
  <c r="AK55" i="19"/>
  <c r="AJ55" i="19"/>
  <c r="AI55" i="19"/>
  <c r="C55" i="19"/>
  <c r="B55" i="19"/>
  <c r="A55" i="19"/>
  <c r="AU54" i="19"/>
  <c r="AT54" i="19"/>
  <c r="AS54" i="19"/>
  <c r="AR54" i="19"/>
  <c r="AQ54" i="19"/>
  <c r="AP54" i="19"/>
  <c r="AO54" i="19"/>
  <c r="AN54" i="19"/>
  <c r="AM54" i="19"/>
  <c r="AL54" i="19"/>
  <c r="AK54" i="19"/>
  <c r="AJ54" i="19"/>
  <c r="AI54" i="19"/>
  <c r="C54" i="19"/>
  <c r="B54" i="19"/>
  <c r="A54" i="19"/>
  <c r="AU53" i="19"/>
  <c r="AT53" i="19"/>
  <c r="AS53" i="19"/>
  <c r="AR53" i="19"/>
  <c r="AQ53" i="19"/>
  <c r="AP53" i="19"/>
  <c r="AO53" i="19"/>
  <c r="AN53" i="19"/>
  <c r="AM53" i="19"/>
  <c r="AL53" i="19"/>
  <c r="AK53" i="19"/>
  <c r="AJ53" i="19"/>
  <c r="AI53" i="19"/>
  <c r="C53" i="19"/>
  <c r="B53" i="19"/>
  <c r="A53" i="19"/>
  <c r="AU52" i="19"/>
  <c r="AT52" i="19"/>
  <c r="AS52" i="19"/>
  <c r="AR52" i="19"/>
  <c r="AQ52" i="19"/>
  <c r="AP52" i="19"/>
  <c r="AO52" i="19"/>
  <c r="AN52" i="19"/>
  <c r="AM52" i="19"/>
  <c r="AL52" i="19"/>
  <c r="AK52" i="19"/>
  <c r="AJ52" i="19"/>
  <c r="AI52" i="19"/>
  <c r="C52" i="19"/>
  <c r="B52" i="19"/>
  <c r="A52" i="19"/>
  <c r="AU51" i="19"/>
  <c r="AT51" i="19"/>
  <c r="AS51" i="19"/>
  <c r="AR51" i="19"/>
  <c r="AQ51" i="19"/>
  <c r="AP51" i="19"/>
  <c r="AO51" i="19"/>
  <c r="AN51" i="19"/>
  <c r="AM51" i="19"/>
  <c r="AL51" i="19"/>
  <c r="AK51" i="19"/>
  <c r="AJ51" i="19"/>
  <c r="AI51" i="19"/>
  <c r="C51" i="19"/>
  <c r="B51" i="19"/>
  <c r="A51" i="19"/>
  <c r="AU50" i="19"/>
  <c r="AT50" i="19"/>
  <c r="AS50" i="19"/>
  <c r="AR50" i="19"/>
  <c r="AQ50" i="19"/>
  <c r="AP50" i="19"/>
  <c r="AO50" i="19"/>
  <c r="AN50" i="19"/>
  <c r="AM50" i="19"/>
  <c r="AL50" i="19"/>
  <c r="AK50" i="19"/>
  <c r="AJ50" i="19"/>
  <c r="AI50" i="19"/>
  <c r="C50" i="19"/>
  <c r="B50" i="19"/>
  <c r="A50" i="19"/>
  <c r="C49" i="19"/>
  <c r="B49" i="19"/>
  <c r="A49" i="19"/>
  <c r="AU48" i="19"/>
  <c r="AT48" i="19"/>
  <c r="AS48" i="19"/>
  <c r="AR48" i="19"/>
  <c r="AQ48" i="19"/>
  <c r="AP48" i="19"/>
  <c r="AO48" i="19"/>
  <c r="AN48" i="19"/>
  <c r="AM48" i="19"/>
  <c r="AL48" i="19"/>
  <c r="AK48" i="19"/>
  <c r="AJ48" i="19"/>
  <c r="AI48" i="19"/>
  <c r="C48" i="19"/>
  <c r="B48" i="19"/>
  <c r="A48" i="19"/>
  <c r="AU47" i="19"/>
  <c r="AT47" i="19"/>
  <c r="AS47" i="19"/>
  <c r="AR47" i="19"/>
  <c r="AQ47" i="19"/>
  <c r="AP47" i="19"/>
  <c r="AO47" i="19"/>
  <c r="AN47" i="19"/>
  <c r="AM47" i="19"/>
  <c r="AL47" i="19"/>
  <c r="AK47" i="19"/>
  <c r="AJ47" i="19"/>
  <c r="AI47" i="19"/>
  <c r="C47" i="19"/>
  <c r="B47" i="19"/>
  <c r="A47" i="19"/>
  <c r="C46" i="19"/>
  <c r="B46" i="19"/>
  <c r="A46" i="19"/>
  <c r="AU45" i="19"/>
  <c r="AT45" i="19"/>
  <c r="AS45" i="19"/>
  <c r="AR45" i="19"/>
  <c r="AQ45" i="19"/>
  <c r="AP45" i="19"/>
  <c r="AO45" i="19"/>
  <c r="AN45" i="19"/>
  <c r="AM45" i="19"/>
  <c r="AL45" i="19"/>
  <c r="AK45" i="19"/>
  <c r="AJ45" i="19"/>
  <c r="AI45" i="19"/>
  <c r="C45" i="19"/>
  <c r="B45" i="19"/>
  <c r="A45" i="19"/>
  <c r="AU44" i="19"/>
  <c r="AT44" i="19"/>
  <c r="AS44" i="19"/>
  <c r="AR44" i="19"/>
  <c r="AQ44" i="19"/>
  <c r="AP44" i="19"/>
  <c r="AO44" i="19"/>
  <c r="AN44" i="19"/>
  <c r="AM44" i="19"/>
  <c r="AL44" i="19"/>
  <c r="AK44" i="19"/>
  <c r="AJ44" i="19"/>
  <c r="AI44" i="19"/>
  <c r="C44" i="19"/>
  <c r="B44" i="19"/>
  <c r="A44" i="19"/>
  <c r="C43" i="19"/>
  <c r="B43" i="19"/>
  <c r="A43" i="19"/>
  <c r="AU42" i="19"/>
  <c r="AT42" i="19"/>
  <c r="AS42" i="19"/>
  <c r="AR42" i="19"/>
  <c r="AQ42" i="19"/>
  <c r="AP42" i="19"/>
  <c r="AO42" i="19"/>
  <c r="AN42" i="19"/>
  <c r="AM42" i="19"/>
  <c r="AL42" i="19"/>
  <c r="AK42" i="19"/>
  <c r="AJ42" i="19"/>
  <c r="AI42" i="19"/>
  <c r="C42" i="19"/>
  <c r="B42" i="19"/>
  <c r="A42" i="19"/>
  <c r="C41" i="19"/>
  <c r="B41" i="19"/>
  <c r="A41" i="19"/>
  <c r="AU40" i="19"/>
  <c r="AT40" i="19"/>
  <c r="AS40" i="19"/>
  <c r="AR40" i="19"/>
  <c r="AQ40" i="19"/>
  <c r="AP40" i="19"/>
  <c r="AO40" i="19"/>
  <c r="AN40" i="19"/>
  <c r="AM40" i="19"/>
  <c r="AL40" i="19"/>
  <c r="AK40" i="19"/>
  <c r="AJ40" i="19"/>
  <c r="AI40" i="19"/>
  <c r="C40" i="19"/>
  <c r="B40" i="19"/>
  <c r="A40" i="19"/>
  <c r="C39" i="19"/>
  <c r="B39" i="19"/>
  <c r="A39" i="19"/>
  <c r="C38" i="19"/>
  <c r="B38" i="19"/>
  <c r="A38" i="19"/>
  <c r="AH37" i="19"/>
  <c r="AG37" i="19"/>
  <c r="AF37" i="19"/>
  <c r="AE37" i="19"/>
  <c r="AD37" i="19"/>
  <c r="AC37" i="19"/>
  <c r="AB37" i="19"/>
  <c r="AA37" i="19"/>
  <c r="Z37" i="19"/>
  <c r="Y37" i="19"/>
  <c r="X37" i="19"/>
  <c r="W37" i="19"/>
  <c r="V37" i="19"/>
  <c r="U37" i="19"/>
  <c r="T37" i="19"/>
  <c r="S37" i="19"/>
  <c r="R37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A37" i="19"/>
  <c r="AU36" i="19"/>
  <c r="AT36" i="19"/>
  <c r="AS36" i="19"/>
  <c r="AR36" i="19"/>
  <c r="AQ36" i="19"/>
  <c r="AP36" i="19"/>
  <c r="AO36" i="19"/>
  <c r="AN36" i="19"/>
  <c r="AM36" i="19"/>
  <c r="AL36" i="19"/>
  <c r="AK36" i="19"/>
  <c r="AJ36" i="19"/>
  <c r="AI36" i="19"/>
  <c r="C36" i="19"/>
  <c r="B36" i="19"/>
  <c r="A36" i="19"/>
  <c r="C35" i="19"/>
  <c r="B35" i="19"/>
  <c r="A35" i="19"/>
  <c r="AU34" i="19"/>
  <c r="AT34" i="19"/>
  <c r="AS34" i="19"/>
  <c r="AR34" i="19"/>
  <c r="AQ34" i="19"/>
  <c r="AP34" i="19"/>
  <c r="AO34" i="19"/>
  <c r="AN34" i="19"/>
  <c r="AM34" i="19"/>
  <c r="AL34" i="19"/>
  <c r="AK34" i="19"/>
  <c r="AJ34" i="19"/>
  <c r="AI34" i="19"/>
  <c r="C34" i="19"/>
  <c r="B34" i="19"/>
  <c r="A34" i="19"/>
  <c r="AU33" i="19"/>
  <c r="AT33" i="19"/>
  <c r="AS33" i="19"/>
  <c r="AR33" i="19"/>
  <c r="AQ33" i="19"/>
  <c r="AP33" i="19"/>
  <c r="AO33" i="19"/>
  <c r="AN33" i="19"/>
  <c r="AM33" i="19"/>
  <c r="AL33" i="19"/>
  <c r="AK33" i="19"/>
  <c r="AJ33" i="19"/>
  <c r="AI33" i="19"/>
  <c r="C33" i="19"/>
  <c r="B33" i="19"/>
  <c r="A33" i="19"/>
  <c r="C32" i="19"/>
  <c r="B32" i="19"/>
  <c r="A32" i="19"/>
  <c r="AU31" i="19"/>
  <c r="AT31" i="19"/>
  <c r="AS31" i="19"/>
  <c r="AR31" i="19"/>
  <c r="AQ31" i="19"/>
  <c r="AP31" i="19"/>
  <c r="AO31" i="19"/>
  <c r="AN31" i="19"/>
  <c r="AM31" i="19"/>
  <c r="AL31" i="19"/>
  <c r="AK31" i="19"/>
  <c r="AJ31" i="19"/>
  <c r="AI31" i="19"/>
  <c r="C31" i="19"/>
  <c r="B31" i="19"/>
  <c r="A31" i="19"/>
  <c r="C30" i="19"/>
  <c r="B30" i="19"/>
  <c r="A30" i="19"/>
  <c r="AU29" i="19"/>
  <c r="AT29" i="19"/>
  <c r="AS29" i="19"/>
  <c r="AR29" i="19"/>
  <c r="AQ29" i="19"/>
  <c r="AP29" i="19"/>
  <c r="AO29" i="19"/>
  <c r="AN29" i="19"/>
  <c r="AM29" i="19"/>
  <c r="AL29" i="19"/>
  <c r="AK29" i="19"/>
  <c r="AJ29" i="19"/>
  <c r="AI29" i="19"/>
  <c r="C29" i="19"/>
  <c r="B29" i="19"/>
  <c r="A29" i="19"/>
  <c r="AU28" i="19"/>
  <c r="AT28" i="19"/>
  <c r="AS28" i="19"/>
  <c r="AR28" i="19"/>
  <c r="AQ28" i="19"/>
  <c r="AP28" i="19"/>
  <c r="AO28" i="19"/>
  <c r="AN28" i="19"/>
  <c r="AM28" i="19"/>
  <c r="AL28" i="19"/>
  <c r="AK28" i="19"/>
  <c r="AJ28" i="19"/>
  <c r="AI28" i="19"/>
  <c r="C28" i="19"/>
  <c r="B28" i="19"/>
  <c r="A28" i="19"/>
  <c r="AU27" i="19"/>
  <c r="AT27" i="19"/>
  <c r="AS27" i="19"/>
  <c r="AR27" i="19"/>
  <c r="AQ27" i="19"/>
  <c r="AP27" i="19"/>
  <c r="AO27" i="19"/>
  <c r="AN27" i="19"/>
  <c r="AM27" i="19"/>
  <c r="AL27" i="19"/>
  <c r="AK27" i="19"/>
  <c r="AJ27" i="19"/>
  <c r="AI27" i="19"/>
  <c r="C27" i="19"/>
  <c r="B27" i="19"/>
  <c r="A27" i="19"/>
  <c r="AU26" i="19"/>
  <c r="AT26" i="19"/>
  <c r="AS26" i="19"/>
  <c r="AR26" i="19"/>
  <c r="AQ26" i="19"/>
  <c r="AP26" i="19"/>
  <c r="AO26" i="19"/>
  <c r="AN26" i="19"/>
  <c r="AM26" i="19"/>
  <c r="AL26" i="19"/>
  <c r="AK26" i="19"/>
  <c r="AJ26" i="19"/>
  <c r="AI26" i="19"/>
  <c r="C26" i="19"/>
  <c r="B26" i="19"/>
  <c r="A26" i="19"/>
  <c r="C25" i="19"/>
  <c r="B25" i="19"/>
  <c r="A25" i="19"/>
  <c r="AU24" i="19"/>
  <c r="AT24" i="19"/>
  <c r="AS24" i="19"/>
  <c r="AR24" i="19"/>
  <c r="AQ24" i="19"/>
  <c r="AP24" i="19"/>
  <c r="AO24" i="19"/>
  <c r="AN24" i="19"/>
  <c r="AM24" i="19"/>
  <c r="AL24" i="19"/>
  <c r="AK24" i="19"/>
  <c r="AJ24" i="19"/>
  <c r="AI24" i="19"/>
  <c r="C24" i="19"/>
  <c r="B24" i="19"/>
  <c r="A24" i="19"/>
  <c r="AU23" i="19"/>
  <c r="AT23" i="19"/>
  <c r="AS23" i="19"/>
  <c r="AR23" i="19"/>
  <c r="AQ23" i="19"/>
  <c r="AP23" i="19"/>
  <c r="AO23" i="19"/>
  <c r="AN23" i="19"/>
  <c r="AM23" i="19"/>
  <c r="AL23" i="19"/>
  <c r="AK23" i="19"/>
  <c r="AJ23" i="19"/>
  <c r="AI23" i="19"/>
  <c r="C23" i="19"/>
  <c r="B23" i="19"/>
  <c r="A23" i="19"/>
  <c r="C22" i="19"/>
  <c r="B22" i="19"/>
  <c r="A22" i="19"/>
  <c r="AU21" i="19"/>
  <c r="AT21" i="19"/>
  <c r="AS21" i="19"/>
  <c r="AR21" i="19"/>
  <c r="AQ21" i="19"/>
  <c r="AP21" i="19"/>
  <c r="AO21" i="19"/>
  <c r="AN21" i="19"/>
  <c r="AM21" i="19"/>
  <c r="AL21" i="19"/>
  <c r="AK21" i="19"/>
  <c r="AJ21" i="19"/>
  <c r="AI21" i="19"/>
  <c r="C21" i="19"/>
  <c r="B21" i="19"/>
  <c r="A21" i="19"/>
  <c r="C20" i="19"/>
  <c r="B20" i="19"/>
  <c r="A20" i="19"/>
  <c r="AU19" i="19"/>
  <c r="AT19" i="19"/>
  <c r="AS19" i="19"/>
  <c r="AR19" i="19"/>
  <c r="AQ19" i="19"/>
  <c r="AP19" i="19"/>
  <c r="AO19" i="19"/>
  <c r="AN19" i="19"/>
  <c r="AM19" i="19"/>
  <c r="AL19" i="19"/>
  <c r="AK19" i="19"/>
  <c r="AJ19" i="19"/>
  <c r="AI19" i="19"/>
  <c r="C19" i="19"/>
  <c r="B19" i="19"/>
  <c r="A19" i="19"/>
  <c r="C18" i="19"/>
  <c r="B18" i="19"/>
  <c r="A18" i="19"/>
  <c r="AU17" i="19"/>
  <c r="AT17" i="19"/>
  <c r="AS17" i="19"/>
  <c r="AR17" i="19"/>
  <c r="AQ17" i="19"/>
  <c r="AP17" i="19"/>
  <c r="AO17" i="19"/>
  <c r="AN17" i="19"/>
  <c r="AM17" i="19"/>
  <c r="AL17" i="19"/>
  <c r="AK17" i="19"/>
  <c r="AJ17" i="19"/>
  <c r="AI17" i="19"/>
  <c r="C17" i="19"/>
  <c r="B17" i="19"/>
  <c r="A17" i="19"/>
  <c r="C16" i="19"/>
  <c r="B16" i="19"/>
  <c r="A16" i="19"/>
  <c r="C15" i="19"/>
  <c r="B15" i="19"/>
  <c r="A15" i="19"/>
  <c r="AU14" i="19"/>
  <c r="AT14" i="19"/>
  <c r="AS14" i="19"/>
  <c r="AR14" i="19"/>
  <c r="AQ14" i="19"/>
  <c r="AP14" i="19"/>
  <c r="AO14" i="19"/>
  <c r="AN14" i="19"/>
  <c r="AM14" i="19"/>
  <c r="AL14" i="19"/>
  <c r="AK14" i="19"/>
  <c r="AJ14" i="19"/>
  <c r="AI14" i="19"/>
  <c r="C14" i="19"/>
  <c r="B14" i="19"/>
  <c r="A14" i="19"/>
  <c r="C13" i="19"/>
  <c r="B13" i="19"/>
  <c r="A13" i="19"/>
  <c r="AU12" i="19"/>
  <c r="AT12" i="19"/>
  <c r="AS12" i="19"/>
  <c r="AR12" i="19"/>
  <c r="AQ12" i="19"/>
  <c r="AP12" i="19"/>
  <c r="AO12" i="19"/>
  <c r="AN12" i="19"/>
  <c r="AM12" i="19"/>
  <c r="AL12" i="19"/>
  <c r="AK12" i="19"/>
  <c r="AJ12" i="19"/>
  <c r="AI12" i="19"/>
  <c r="C12" i="19"/>
  <c r="B12" i="19"/>
  <c r="A12" i="19"/>
  <c r="C11" i="19"/>
  <c r="B11" i="19"/>
  <c r="A11" i="19"/>
  <c r="AH106" i="18"/>
  <c r="AG106" i="18"/>
  <c r="AF106" i="18"/>
  <c r="AE106" i="18"/>
  <c r="AD106" i="18"/>
  <c r="AC106" i="18"/>
  <c r="AB106" i="18"/>
  <c r="AA106" i="18"/>
  <c r="Z106" i="18"/>
  <c r="Y106" i="18"/>
  <c r="X106" i="18"/>
  <c r="W106" i="18"/>
  <c r="O106" i="18"/>
  <c r="N106" i="18"/>
  <c r="M106" i="18"/>
  <c r="L106" i="18"/>
  <c r="K106" i="18"/>
  <c r="J106" i="18"/>
  <c r="I106" i="18"/>
  <c r="H106" i="18"/>
  <c r="G106" i="18"/>
  <c r="F106" i="18"/>
  <c r="E106" i="18"/>
  <c r="D106" i="18"/>
  <c r="AH84" i="18"/>
  <c r="AG84" i="18"/>
  <c r="AF84" i="18"/>
  <c r="AE84" i="18"/>
  <c r="AD84" i="18"/>
  <c r="AC84" i="18"/>
  <c r="AB84" i="18"/>
  <c r="AA84" i="18"/>
  <c r="Z84" i="18"/>
  <c r="Y84" i="18"/>
  <c r="X84" i="18"/>
  <c r="W84" i="18"/>
  <c r="P84" i="18"/>
  <c r="O84" i="18"/>
  <c r="N84" i="18"/>
  <c r="M84" i="18"/>
  <c r="L84" i="18"/>
  <c r="K84" i="18"/>
  <c r="J84" i="18"/>
  <c r="I84" i="18"/>
  <c r="H84" i="18"/>
  <c r="G84" i="18"/>
  <c r="F84" i="18"/>
  <c r="E84" i="18"/>
  <c r="D84" i="18"/>
  <c r="AU80" i="18"/>
  <c r="AT80" i="18"/>
  <c r="AS80" i="18"/>
  <c r="AR80" i="18"/>
  <c r="AQ80" i="18"/>
  <c r="AP80" i="18"/>
  <c r="AO80" i="18"/>
  <c r="AN80" i="18"/>
  <c r="AM80" i="18"/>
  <c r="AL80" i="18"/>
  <c r="AK80" i="18"/>
  <c r="AJ80" i="18"/>
  <c r="AI80" i="18"/>
  <c r="C80" i="18"/>
  <c r="B80" i="18"/>
  <c r="A80" i="18"/>
  <c r="AU79" i="18"/>
  <c r="AT79" i="18"/>
  <c r="AS79" i="18"/>
  <c r="AR79" i="18"/>
  <c r="AQ79" i="18"/>
  <c r="AP79" i="18"/>
  <c r="AO79" i="18"/>
  <c r="AN79" i="18"/>
  <c r="AM79" i="18"/>
  <c r="AL79" i="18"/>
  <c r="AK79" i="18"/>
  <c r="AJ79" i="18"/>
  <c r="AI79" i="18"/>
  <c r="C79" i="18"/>
  <c r="B79" i="18"/>
  <c r="A79" i="18"/>
  <c r="C78" i="18"/>
  <c r="B78" i="18"/>
  <c r="A78" i="18"/>
  <c r="AU77" i="18"/>
  <c r="AT77" i="18"/>
  <c r="AS77" i="18"/>
  <c r="AR77" i="18"/>
  <c r="AQ77" i="18"/>
  <c r="AP77" i="18"/>
  <c r="AO77" i="18"/>
  <c r="AN77" i="18"/>
  <c r="AM77" i="18"/>
  <c r="AL77" i="18"/>
  <c r="AK77" i="18"/>
  <c r="AJ77" i="18"/>
  <c r="AI77" i="18"/>
  <c r="C77" i="18"/>
  <c r="B77" i="18"/>
  <c r="A77" i="18"/>
  <c r="AU76" i="18"/>
  <c r="AT76" i="18"/>
  <c r="AS76" i="18"/>
  <c r="AR76" i="18"/>
  <c r="AQ76" i="18"/>
  <c r="AP76" i="18"/>
  <c r="AO76" i="18"/>
  <c r="AN76" i="18"/>
  <c r="AM76" i="18"/>
  <c r="AL76" i="18"/>
  <c r="AK76" i="18"/>
  <c r="AJ76" i="18"/>
  <c r="AI76" i="18"/>
  <c r="C76" i="18"/>
  <c r="B76" i="18"/>
  <c r="A76" i="18"/>
  <c r="C75" i="18"/>
  <c r="B75" i="18"/>
  <c r="A75" i="18"/>
  <c r="AE74" i="18"/>
  <c r="AC74" i="18"/>
  <c r="AB74" i="18"/>
  <c r="AA74" i="18"/>
  <c r="Z74" i="18"/>
  <c r="Y74" i="18"/>
  <c r="W74" i="18"/>
  <c r="U74" i="18"/>
  <c r="S74" i="18"/>
  <c r="P74" i="18"/>
  <c r="N74" i="18"/>
  <c r="M74" i="18"/>
  <c r="K74" i="18"/>
  <c r="G74" i="18"/>
  <c r="C74" i="18"/>
  <c r="B74" i="18"/>
  <c r="A74" i="18"/>
  <c r="AH73" i="18"/>
  <c r="AG73" i="18"/>
  <c r="AF73" i="18"/>
  <c r="AE73" i="18"/>
  <c r="AD73" i="18"/>
  <c r="AC73" i="18"/>
  <c r="AB73" i="18"/>
  <c r="AA73" i="18"/>
  <c r="Z73" i="18"/>
  <c r="Y73" i="18"/>
  <c r="X73" i="18"/>
  <c r="W73" i="18"/>
  <c r="V73" i="18"/>
  <c r="U73" i="18"/>
  <c r="T73" i="18"/>
  <c r="S73" i="18"/>
  <c r="R73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E73" i="18"/>
  <c r="D73" i="18"/>
  <c r="C73" i="18"/>
  <c r="B73" i="18"/>
  <c r="A73" i="18"/>
  <c r="AU72" i="18"/>
  <c r="AT72" i="18"/>
  <c r="AS72" i="18"/>
  <c r="AR72" i="18"/>
  <c r="AQ72" i="18"/>
  <c r="AP72" i="18"/>
  <c r="AO72" i="18"/>
  <c r="AN72" i="18"/>
  <c r="AM72" i="18"/>
  <c r="AL72" i="18"/>
  <c r="AK72" i="18"/>
  <c r="AJ72" i="18"/>
  <c r="AI72" i="18"/>
  <c r="C72" i="18"/>
  <c r="B72" i="18"/>
  <c r="A72" i="18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C71" i="18"/>
  <c r="B71" i="18"/>
  <c r="A71" i="18"/>
  <c r="AU70" i="18"/>
  <c r="AT70" i="18"/>
  <c r="AS70" i="18"/>
  <c r="AR70" i="18"/>
  <c r="AQ70" i="18"/>
  <c r="AP70" i="18"/>
  <c r="AO70" i="18"/>
  <c r="AN70" i="18"/>
  <c r="AM70" i="18"/>
  <c r="AL70" i="18"/>
  <c r="AK70" i="18"/>
  <c r="AJ70" i="18"/>
  <c r="AI70" i="18"/>
  <c r="C70" i="18"/>
  <c r="B70" i="18"/>
  <c r="A70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C69" i="18"/>
  <c r="B69" i="18"/>
  <c r="A69" i="18"/>
  <c r="AU68" i="18"/>
  <c r="AT68" i="18"/>
  <c r="AS68" i="18"/>
  <c r="AR68" i="18"/>
  <c r="AQ68" i="18"/>
  <c r="AP68" i="18"/>
  <c r="AO68" i="18"/>
  <c r="AN68" i="18"/>
  <c r="AM68" i="18"/>
  <c r="AL68" i="18"/>
  <c r="AK68" i="18"/>
  <c r="AJ68" i="18"/>
  <c r="AI68" i="18"/>
  <c r="C68" i="18"/>
  <c r="B68" i="18"/>
  <c r="A68" i="18"/>
  <c r="AU67" i="18"/>
  <c r="AT67" i="18"/>
  <c r="AS67" i="18"/>
  <c r="AR67" i="18"/>
  <c r="AQ67" i="18"/>
  <c r="AP67" i="18"/>
  <c r="AO67" i="18"/>
  <c r="AN67" i="18"/>
  <c r="AM67" i="18"/>
  <c r="AL67" i="18"/>
  <c r="AK67" i="18"/>
  <c r="AJ67" i="18"/>
  <c r="AI67" i="18"/>
  <c r="C67" i="18"/>
  <c r="B67" i="18"/>
  <c r="A67" i="18"/>
  <c r="AU66" i="18"/>
  <c r="AT66" i="18"/>
  <c r="AS66" i="18"/>
  <c r="AR66" i="18"/>
  <c r="AQ66" i="18"/>
  <c r="AP66" i="18"/>
  <c r="AO66" i="18"/>
  <c r="AN66" i="18"/>
  <c r="AM66" i="18"/>
  <c r="AL66" i="18"/>
  <c r="AK66" i="18"/>
  <c r="AJ66" i="18"/>
  <c r="AI66" i="18"/>
  <c r="C66" i="18"/>
  <c r="B66" i="18"/>
  <c r="A66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C65" i="18"/>
  <c r="B65" i="18"/>
  <c r="A65" i="18"/>
  <c r="AU64" i="18"/>
  <c r="AT64" i="18"/>
  <c r="AS64" i="18"/>
  <c r="AR64" i="18"/>
  <c r="AQ64" i="18"/>
  <c r="AP64" i="18"/>
  <c r="AO64" i="18"/>
  <c r="AN64" i="18"/>
  <c r="AM64" i="18"/>
  <c r="AL64" i="18"/>
  <c r="AK64" i="18"/>
  <c r="AJ64" i="18"/>
  <c r="AI64" i="18"/>
  <c r="C64" i="18"/>
  <c r="B64" i="18"/>
  <c r="A64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C63" i="18"/>
  <c r="B63" i="18"/>
  <c r="A63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C62" i="18"/>
  <c r="B62" i="18"/>
  <c r="A62" i="18"/>
  <c r="C61" i="18"/>
  <c r="B61" i="18"/>
  <c r="A61" i="18"/>
  <c r="AH60" i="18"/>
  <c r="AH74" i="18" s="1"/>
  <c r="AG60" i="18"/>
  <c r="AG74" i="18" s="1"/>
  <c r="AF60" i="18"/>
  <c r="AF74" i="18" s="1"/>
  <c r="AE60" i="18"/>
  <c r="AD60" i="18"/>
  <c r="AD74" i="18" s="1"/>
  <c r="AC60" i="18"/>
  <c r="AB60" i="18"/>
  <c r="AA60" i="18"/>
  <c r="Z60" i="18"/>
  <c r="Y60" i="18"/>
  <c r="X60" i="18"/>
  <c r="X74" i="18" s="1"/>
  <c r="W60" i="18"/>
  <c r="V60" i="18"/>
  <c r="V74" i="18" s="1"/>
  <c r="U60" i="18"/>
  <c r="T60" i="18"/>
  <c r="T74" i="18" s="1"/>
  <c r="S60" i="18"/>
  <c r="R60" i="18"/>
  <c r="R74" i="18" s="1"/>
  <c r="Q60" i="18"/>
  <c r="Q74" i="18" s="1"/>
  <c r="P60" i="18"/>
  <c r="O60" i="18"/>
  <c r="O74" i="18" s="1"/>
  <c r="N60" i="18"/>
  <c r="M60" i="18"/>
  <c r="L60" i="18"/>
  <c r="L74" i="18" s="1"/>
  <c r="K60" i="18"/>
  <c r="J60" i="18"/>
  <c r="J74" i="18" s="1"/>
  <c r="I60" i="18"/>
  <c r="I74" i="18" s="1"/>
  <c r="H60" i="18"/>
  <c r="H74" i="18" s="1"/>
  <c r="G60" i="18"/>
  <c r="F60" i="18"/>
  <c r="F74" i="18" s="1"/>
  <c r="E60" i="18"/>
  <c r="E74" i="18" s="1"/>
  <c r="D60" i="18"/>
  <c r="D74" i="18" s="1"/>
  <c r="C60" i="18"/>
  <c r="B60" i="18"/>
  <c r="A60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C59" i="18"/>
  <c r="B59" i="18"/>
  <c r="A59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C58" i="18"/>
  <c r="B58" i="18"/>
  <c r="A58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C57" i="18"/>
  <c r="B57" i="18"/>
  <c r="A57" i="18"/>
  <c r="AU56" i="18"/>
  <c r="AT56" i="18"/>
  <c r="AS56" i="18"/>
  <c r="AR56" i="18"/>
  <c r="AQ56" i="18"/>
  <c r="AP56" i="18"/>
  <c r="AO56" i="18"/>
  <c r="AN56" i="18"/>
  <c r="AM56" i="18"/>
  <c r="AL56" i="18"/>
  <c r="AK56" i="18"/>
  <c r="AJ56" i="18"/>
  <c r="AI56" i="18"/>
  <c r="C56" i="18"/>
  <c r="B56" i="18"/>
  <c r="A56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C55" i="18"/>
  <c r="B55" i="18"/>
  <c r="A55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C54" i="18"/>
  <c r="B54" i="18"/>
  <c r="A54" i="18"/>
  <c r="AU53" i="18"/>
  <c r="AT53" i="18"/>
  <c r="AS53" i="18"/>
  <c r="AR53" i="18"/>
  <c r="AQ53" i="18"/>
  <c r="AP53" i="18"/>
  <c r="AO53" i="18"/>
  <c r="AN53" i="18"/>
  <c r="AM53" i="18"/>
  <c r="AL53" i="18"/>
  <c r="AK53" i="18"/>
  <c r="AJ53" i="18"/>
  <c r="AI53" i="18"/>
  <c r="C53" i="18"/>
  <c r="B53" i="18"/>
  <c r="A53" i="18"/>
  <c r="AU52" i="18"/>
  <c r="AT52" i="18"/>
  <c r="AS52" i="18"/>
  <c r="AR52" i="18"/>
  <c r="AQ52" i="18"/>
  <c r="AP52" i="18"/>
  <c r="AO52" i="18"/>
  <c r="AN52" i="18"/>
  <c r="AM52" i="18"/>
  <c r="AL52" i="18"/>
  <c r="AK52" i="18"/>
  <c r="AJ52" i="18"/>
  <c r="AI52" i="18"/>
  <c r="C52" i="18"/>
  <c r="B52" i="18"/>
  <c r="A52" i="18"/>
  <c r="AU51" i="18"/>
  <c r="AT51" i="18"/>
  <c r="AS51" i="18"/>
  <c r="AR51" i="18"/>
  <c r="AQ51" i="18"/>
  <c r="AP51" i="18"/>
  <c r="AO51" i="18"/>
  <c r="AN51" i="18"/>
  <c r="AM51" i="18"/>
  <c r="AL51" i="18"/>
  <c r="AK51" i="18"/>
  <c r="AJ51" i="18"/>
  <c r="AI51" i="18"/>
  <c r="C51" i="18"/>
  <c r="B51" i="18"/>
  <c r="A51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C50" i="18"/>
  <c r="B50" i="18"/>
  <c r="A50" i="18"/>
  <c r="C49" i="18"/>
  <c r="B49" i="18"/>
  <c r="A49" i="18"/>
  <c r="AU48" i="18"/>
  <c r="AT48" i="18"/>
  <c r="AS48" i="18"/>
  <c r="AR48" i="18"/>
  <c r="AQ48" i="18"/>
  <c r="AP48" i="18"/>
  <c r="AO48" i="18"/>
  <c r="AN48" i="18"/>
  <c r="AM48" i="18"/>
  <c r="AL48" i="18"/>
  <c r="AK48" i="18"/>
  <c r="AJ48" i="18"/>
  <c r="AI48" i="18"/>
  <c r="C48" i="18"/>
  <c r="B48" i="18"/>
  <c r="A48" i="18"/>
  <c r="AU47" i="18"/>
  <c r="AT47" i="18"/>
  <c r="AS47" i="18"/>
  <c r="AR47" i="18"/>
  <c r="AQ47" i="18"/>
  <c r="AP47" i="18"/>
  <c r="AO47" i="18"/>
  <c r="AN47" i="18"/>
  <c r="AM47" i="18"/>
  <c r="AL47" i="18"/>
  <c r="AK47" i="18"/>
  <c r="AJ47" i="18"/>
  <c r="AI47" i="18"/>
  <c r="C47" i="18"/>
  <c r="B47" i="18"/>
  <c r="A47" i="18"/>
  <c r="C46" i="18"/>
  <c r="B46" i="18"/>
  <c r="A46" i="18"/>
  <c r="AU45" i="18"/>
  <c r="AT45" i="18"/>
  <c r="AS45" i="18"/>
  <c r="AR45" i="18"/>
  <c r="AQ45" i="18"/>
  <c r="AP45" i="18"/>
  <c r="AO45" i="18"/>
  <c r="AN45" i="18"/>
  <c r="AM45" i="18"/>
  <c r="AL45" i="18"/>
  <c r="AK45" i="18"/>
  <c r="AJ45" i="18"/>
  <c r="AI45" i="18"/>
  <c r="C45" i="18"/>
  <c r="B45" i="18"/>
  <c r="A45" i="18"/>
  <c r="AU44" i="18"/>
  <c r="AT44" i="18"/>
  <c r="AS44" i="18"/>
  <c r="AR44" i="18"/>
  <c r="AQ44" i="18"/>
  <c r="AP44" i="18"/>
  <c r="AO44" i="18"/>
  <c r="AN44" i="18"/>
  <c r="AM44" i="18"/>
  <c r="AL44" i="18"/>
  <c r="AK44" i="18"/>
  <c r="AJ44" i="18"/>
  <c r="AI44" i="18"/>
  <c r="C44" i="18"/>
  <c r="B44" i="18"/>
  <c r="A44" i="18"/>
  <c r="C43" i="18"/>
  <c r="B43" i="18"/>
  <c r="A43" i="18"/>
  <c r="AU42" i="18"/>
  <c r="AT42" i="18"/>
  <c r="AS42" i="18"/>
  <c r="AR42" i="18"/>
  <c r="AQ42" i="18"/>
  <c r="AP42" i="18"/>
  <c r="AO42" i="18"/>
  <c r="AN42" i="18"/>
  <c r="AM42" i="18"/>
  <c r="AL42" i="18"/>
  <c r="AK42" i="18"/>
  <c r="AJ42" i="18"/>
  <c r="AI42" i="18"/>
  <c r="C42" i="18"/>
  <c r="B42" i="18"/>
  <c r="A42" i="18"/>
  <c r="C41" i="18"/>
  <c r="B41" i="18"/>
  <c r="A41" i="18"/>
  <c r="AU40" i="18"/>
  <c r="AT40" i="18"/>
  <c r="AS40" i="18"/>
  <c r="AR40" i="18"/>
  <c r="AQ40" i="18"/>
  <c r="AP40" i="18"/>
  <c r="AO40" i="18"/>
  <c r="AN40" i="18"/>
  <c r="AM40" i="18"/>
  <c r="AL40" i="18"/>
  <c r="AK40" i="18"/>
  <c r="AJ40" i="18"/>
  <c r="AI40" i="18"/>
  <c r="C40" i="18"/>
  <c r="B40" i="18"/>
  <c r="A40" i="18"/>
  <c r="C39" i="18"/>
  <c r="B39" i="18"/>
  <c r="A39" i="18"/>
  <c r="C38" i="18"/>
  <c r="B38" i="18"/>
  <c r="A38" i="18"/>
  <c r="AH37" i="18"/>
  <c r="AG37" i="18"/>
  <c r="AF37" i="18"/>
  <c r="AE37" i="18"/>
  <c r="AD37" i="18"/>
  <c r="AC37" i="18"/>
  <c r="AB37" i="18"/>
  <c r="AA37" i="18"/>
  <c r="Z37" i="18"/>
  <c r="Y37" i="18"/>
  <c r="X37" i="18"/>
  <c r="W37" i="18"/>
  <c r="V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C37" i="18"/>
  <c r="B37" i="18"/>
  <c r="A37" i="18"/>
  <c r="AU36" i="18"/>
  <c r="AT36" i="18"/>
  <c r="AS36" i="18"/>
  <c r="AR36" i="18"/>
  <c r="AQ36" i="18"/>
  <c r="AP36" i="18"/>
  <c r="AO36" i="18"/>
  <c r="AN36" i="18"/>
  <c r="AM36" i="18"/>
  <c r="AL36" i="18"/>
  <c r="AK36" i="18"/>
  <c r="AJ36" i="18"/>
  <c r="AI36" i="18"/>
  <c r="C36" i="18"/>
  <c r="B36" i="18"/>
  <c r="A36" i="18"/>
  <c r="C35" i="18"/>
  <c r="B35" i="18"/>
  <c r="A35" i="18"/>
  <c r="AU34" i="18"/>
  <c r="AT34" i="18"/>
  <c r="AS34" i="18"/>
  <c r="AR34" i="18"/>
  <c r="AQ34" i="18"/>
  <c r="AP34" i="18"/>
  <c r="AO34" i="18"/>
  <c r="AN34" i="18"/>
  <c r="AM34" i="18"/>
  <c r="AL34" i="18"/>
  <c r="AK34" i="18"/>
  <c r="AJ34" i="18"/>
  <c r="AI34" i="18"/>
  <c r="C34" i="18"/>
  <c r="B34" i="18"/>
  <c r="A34" i="18"/>
  <c r="AU33" i="18"/>
  <c r="AT33" i="18"/>
  <c r="AS33" i="18"/>
  <c r="AR33" i="18"/>
  <c r="AQ33" i="18"/>
  <c r="AP33" i="18"/>
  <c r="AO33" i="18"/>
  <c r="AN33" i="18"/>
  <c r="AM33" i="18"/>
  <c r="AL33" i="18"/>
  <c r="AK33" i="18"/>
  <c r="AJ33" i="18"/>
  <c r="AI33" i="18"/>
  <c r="C33" i="18"/>
  <c r="B33" i="18"/>
  <c r="A33" i="18"/>
  <c r="C32" i="18"/>
  <c r="B32" i="18"/>
  <c r="A32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C31" i="18"/>
  <c r="B31" i="18"/>
  <c r="A31" i="18"/>
  <c r="C30" i="18"/>
  <c r="B30" i="18"/>
  <c r="A30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C29" i="18"/>
  <c r="B29" i="18"/>
  <c r="A29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C28" i="18"/>
  <c r="B28" i="18"/>
  <c r="A28" i="18"/>
  <c r="AU27" i="18"/>
  <c r="AT27" i="18"/>
  <c r="AS27" i="18"/>
  <c r="AR27" i="18"/>
  <c r="AQ27" i="18"/>
  <c r="AP27" i="18"/>
  <c r="AO27" i="18"/>
  <c r="AN27" i="18"/>
  <c r="AM27" i="18"/>
  <c r="AL27" i="18"/>
  <c r="AK27" i="18"/>
  <c r="AJ27" i="18"/>
  <c r="AI27" i="18"/>
  <c r="C27" i="18"/>
  <c r="B27" i="18"/>
  <c r="A27" i="18"/>
  <c r="AU26" i="18"/>
  <c r="AT26" i="18"/>
  <c r="AS26" i="18"/>
  <c r="AR26" i="18"/>
  <c r="AQ26" i="18"/>
  <c r="AP26" i="18"/>
  <c r="AO26" i="18"/>
  <c r="AN26" i="18"/>
  <c r="AM26" i="18"/>
  <c r="AL26" i="18"/>
  <c r="AK26" i="18"/>
  <c r="AJ26" i="18"/>
  <c r="AI26" i="18"/>
  <c r="C26" i="18"/>
  <c r="B26" i="18"/>
  <c r="A26" i="18"/>
  <c r="C25" i="18"/>
  <c r="B25" i="18"/>
  <c r="A25" i="18"/>
  <c r="AU24" i="18"/>
  <c r="AT24" i="18"/>
  <c r="AS24" i="18"/>
  <c r="AR24" i="18"/>
  <c r="AQ24" i="18"/>
  <c r="AP24" i="18"/>
  <c r="AO24" i="18"/>
  <c r="AN24" i="18"/>
  <c r="AM24" i="18"/>
  <c r="AL24" i="18"/>
  <c r="AK24" i="18"/>
  <c r="AJ24" i="18"/>
  <c r="AI24" i="18"/>
  <c r="C24" i="18"/>
  <c r="B24" i="18"/>
  <c r="A24" i="18"/>
  <c r="AU23" i="18"/>
  <c r="AT23" i="18"/>
  <c r="AS23" i="18"/>
  <c r="AR23" i="18"/>
  <c r="AQ23" i="18"/>
  <c r="AP23" i="18"/>
  <c r="AO23" i="18"/>
  <c r="AN23" i="18"/>
  <c r="AM23" i="18"/>
  <c r="AL23" i="18"/>
  <c r="AK23" i="18"/>
  <c r="AJ23" i="18"/>
  <c r="AI23" i="18"/>
  <c r="C23" i="18"/>
  <c r="B23" i="18"/>
  <c r="A23" i="18"/>
  <c r="C22" i="18"/>
  <c r="B22" i="18"/>
  <c r="A22" i="18"/>
  <c r="AU21" i="18"/>
  <c r="AT21" i="18"/>
  <c r="AS21" i="18"/>
  <c r="AR21" i="18"/>
  <c r="AQ21" i="18"/>
  <c r="AP21" i="18"/>
  <c r="AO21" i="18"/>
  <c r="AN21" i="18"/>
  <c r="AM21" i="18"/>
  <c r="AL21" i="18"/>
  <c r="AK21" i="18"/>
  <c r="AJ21" i="18"/>
  <c r="AI21" i="18"/>
  <c r="C21" i="18"/>
  <c r="B21" i="18"/>
  <c r="A21" i="18"/>
  <c r="C20" i="18"/>
  <c r="B20" i="18"/>
  <c r="A20" i="18"/>
  <c r="AU19" i="18"/>
  <c r="AT19" i="18"/>
  <c r="AS19" i="18"/>
  <c r="AR19" i="18"/>
  <c r="AQ19" i="18"/>
  <c r="AP19" i="18"/>
  <c r="AO19" i="18"/>
  <c r="AN19" i="18"/>
  <c r="AM19" i="18"/>
  <c r="AL19" i="18"/>
  <c r="AK19" i="18"/>
  <c r="AJ19" i="18"/>
  <c r="AI19" i="18"/>
  <c r="C19" i="18"/>
  <c r="B19" i="18"/>
  <c r="A19" i="18"/>
  <c r="C18" i="18"/>
  <c r="B18" i="18"/>
  <c r="A18" i="18"/>
  <c r="AU17" i="18"/>
  <c r="AT17" i="18"/>
  <c r="AS17" i="18"/>
  <c r="AR17" i="18"/>
  <c r="AQ17" i="18"/>
  <c r="AP17" i="18"/>
  <c r="AO17" i="18"/>
  <c r="AN17" i="18"/>
  <c r="AM17" i="18"/>
  <c r="AL17" i="18"/>
  <c r="AK17" i="18"/>
  <c r="AJ17" i="18"/>
  <c r="AI17" i="18"/>
  <c r="C17" i="18"/>
  <c r="B17" i="18"/>
  <c r="A17" i="18"/>
  <c r="C16" i="18"/>
  <c r="B16" i="18"/>
  <c r="A16" i="18"/>
  <c r="C15" i="18"/>
  <c r="B15" i="18"/>
  <c r="A15" i="18"/>
  <c r="AU14" i="18"/>
  <c r="AT14" i="18"/>
  <c r="AS14" i="18"/>
  <c r="AR14" i="18"/>
  <c r="AQ14" i="18"/>
  <c r="AP14" i="18"/>
  <c r="AO14" i="18"/>
  <c r="AN14" i="18"/>
  <c r="AM14" i="18"/>
  <c r="AL14" i="18"/>
  <c r="AK14" i="18"/>
  <c r="AJ14" i="18"/>
  <c r="AI14" i="18"/>
  <c r="C14" i="18"/>
  <c r="B14" i="18"/>
  <c r="A14" i="18"/>
  <c r="C13" i="18"/>
  <c r="B13" i="18"/>
  <c r="A13" i="18"/>
  <c r="AU12" i="18"/>
  <c r="AT12" i="18"/>
  <c r="AS12" i="18"/>
  <c r="AR12" i="18"/>
  <c r="AQ12" i="18"/>
  <c r="AP12" i="18"/>
  <c r="AO12" i="18"/>
  <c r="AN12" i="18"/>
  <c r="AM12" i="18"/>
  <c r="AL12" i="18"/>
  <c r="AK12" i="18"/>
  <c r="AJ12" i="18"/>
  <c r="AI12" i="18"/>
  <c r="C12" i="18"/>
  <c r="B12" i="18"/>
  <c r="A12" i="18"/>
  <c r="C11" i="18"/>
  <c r="B11" i="18"/>
  <c r="A11" i="18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AH84" i="3"/>
  <c r="AG84" i="3"/>
  <c r="AF84" i="3"/>
  <c r="AE84" i="3"/>
  <c r="AD84" i="3"/>
  <c r="AC84" i="3"/>
  <c r="AB84" i="3"/>
  <c r="AA84" i="3"/>
  <c r="Z84" i="3"/>
  <c r="Y84" i="3"/>
  <c r="X84" i="3"/>
  <c r="W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AU80" i="3"/>
  <c r="AT80" i="3"/>
  <c r="AS80" i="3"/>
  <c r="AR80" i="3"/>
  <c r="AQ80" i="3"/>
  <c r="AP80" i="3"/>
  <c r="AO80" i="3"/>
  <c r="AN80" i="3"/>
  <c r="AM80" i="3"/>
  <c r="AL80" i="3"/>
  <c r="AK80" i="3"/>
  <c r="AJ80" i="3"/>
  <c r="AI80" i="3"/>
  <c r="C80" i="3"/>
  <c r="B80" i="3"/>
  <c r="A80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C79" i="3"/>
  <c r="B79" i="3"/>
  <c r="A79" i="3"/>
  <c r="C78" i="3"/>
  <c r="B78" i="3"/>
  <c r="A78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C77" i="3"/>
  <c r="B77" i="3"/>
  <c r="A77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C76" i="3"/>
  <c r="B76" i="3"/>
  <c r="A76" i="3"/>
  <c r="C75" i="3"/>
  <c r="B75" i="3"/>
  <c r="A75" i="3"/>
  <c r="AH74" i="3"/>
  <c r="AG74" i="3"/>
  <c r="AA74" i="3"/>
  <c r="Z74" i="3"/>
  <c r="Y74" i="3"/>
  <c r="X74" i="3"/>
  <c r="R74" i="3"/>
  <c r="Q74" i="3"/>
  <c r="I74" i="3"/>
  <c r="H74" i="3"/>
  <c r="F74" i="3"/>
  <c r="D74" i="3"/>
  <c r="C74" i="3"/>
  <c r="B74" i="3"/>
  <c r="A74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C72" i="3"/>
  <c r="B72" i="3"/>
  <c r="A72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C71" i="3"/>
  <c r="B71" i="3"/>
  <c r="A71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C70" i="3"/>
  <c r="B70" i="3"/>
  <c r="A70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C69" i="3"/>
  <c r="B69" i="3"/>
  <c r="A69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C68" i="3"/>
  <c r="B68" i="3"/>
  <c r="A68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C67" i="3"/>
  <c r="B67" i="3"/>
  <c r="A67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C66" i="3"/>
  <c r="B66" i="3"/>
  <c r="A66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C65" i="3"/>
  <c r="B65" i="3"/>
  <c r="A65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C64" i="3"/>
  <c r="B64" i="3"/>
  <c r="A64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C63" i="3"/>
  <c r="B63" i="3"/>
  <c r="A63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C62" i="3"/>
  <c r="B62" i="3"/>
  <c r="A62" i="3"/>
  <c r="C61" i="3"/>
  <c r="B61" i="3"/>
  <c r="A61" i="3"/>
  <c r="AH60" i="3"/>
  <c r="AG60" i="3"/>
  <c r="AF60" i="3"/>
  <c r="AF74" i="3"/>
  <c r="AE60" i="3"/>
  <c r="AE74" i="3"/>
  <c r="AD60" i="3"/>
  <c r="AD74" i="3"/>
  <c r="AC60" i="3"/>
  <c r="AC74" i="3"/>
  <c r="AB60" i="3"/>
  <c r="AB74" i="3"/>
  <c r="AA60" i="3"/>
  <c r="Z60" i="3"/>
  <c r="Y60" i="3"/>
  <c r="X60" i="3"/>
  <c r="W60" i="3"/>
  <c r="W74" i="3"/>
  <c r="V60" i="3"/>
  <c r="V74" i="3"/>
  <c r="U60" i="3"/>
  <c r="U74" i="3"/>
  <c r="T60" i="3"/>
  <c r="T74" i="3"/>
  <c r="S60" i="3"/>
  <c r="S74" i="3"/>
  <c r="R60" i="3"/>
  <c r="Q60" i="3"/>
  <c r="P60" i="3"/>
  <c r="P74" i="3"/>
  <c r="O60" i="3"/>
  <c r="O74" i="3"/>
  <c r="N60" i="3"/>
  <c r="N74" i="3" s="1"/>
  <c r="M60" i="3"/>
  <c r="M74" i="3"/>
  <c r="L60" i="3"/>
  <c r="L74" i="3"/>
  <c r="K60" i="3"/>
  <c r="K74" i="3"/>
  <c r="J60" i="3"/>
  <c r="J74" i="3"/>
  <c r="I60" i="3"/>
  <c r="H60" i="3"/>
  <c r="G60" i="3"/>
  <c r="G74" i="3"/>
  <c r="F60" i="3"/>
  <c r="E60" i="3"/>
  <c r="E74" i="3"/>
  <c r="D60" i="3"/>
  <c r="C60" i="3"/>
  <c r="B60" i="3"/>
  <c r="A60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C59" i="3"/>
  <c r="B59" i="3"/>
  <c r="A59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C58" i="3"/>
  <c r="B58" i="3"/>
  <c r="A58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C57" i="3"/>
  <c r="B57" i="3"/>
  <c r="A57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C56" i="3"/>
  <c r="B56" i="3"/>
  <c r="A56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C55" i="3"/>
  <c r="B55" i="3"/>
  <c r="A55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C54" i="3"/>
  <c r="B54" i="3"/>
  <c r="A54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C53" i="3"/>
  <c r="B53" i="3"/>
  <c r="A53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C52" i="3"/>
  <c r="B52" i="3"/>
  <c r="A52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C51" i="3"/>
  <c r="B51" i="3"/>
  <c r="A51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C50" i="3"/>
  <c r="B50" i="3"/>
  <c r="A50" i="3"/>
  <c r="C49" i="3"/>
  <c r="B49" i="3"/>
  <c r="A49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C48" i="3"/>
  <c r="B48" i="3"/>
  <c r="A48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C47" i="3"/>
  <c r="B47" i="3"/>
  <c r="A47" i="3"/>
  <c r="C46" i="3"/>
  <c r="B46" i="3"/>
  <c r="A46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C45" i="3"/>
  <c r="B45" i="3"/>
  <c r="A45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C44" i="3"/>
  <c r="B44" i="3"/>
  <c r="A44" i="3"/>
  <c r="C43" i="3"/>
  <c r="B43" i="3"/>
  <c r="A43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C42" i="3"/>
  <c r="B42" i="3"/>
  <c r="A42" i="3"/>
  <c r="C41" i="3"/>
  <c r="B41" i="3"/>
  <c r="A41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C40" i="3"/>
  <c r="B40" i="3"/>
  <c r="A40" i="3"/>
  <c r="C39" i="3"/>
  <c r="B39" i="3"/>
  <c r="A39" i="3"/>
  <c r="C38" i="3"/>
  <c r="B38" i="3"/>
  <c r="A38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C36" i="3"/>
  <c r="B36" i="3"/>
  <c r="A36" i="3"/>
  <c r="C35" i="3"/>
  <c r="B35" i="3"/>
  <c r="A35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C34" i="3"/>
  <c r="B34" i="3"/>
  <c r="A34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C33" i="3"/>
  <c r="B33" i="3"/>
  <c r="A33" i="3"/>
  <c r="C32" i="3"/>
  <c r="B32" i="3"/>
  <c r="A32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C31" i="3"/>
  <c r="B31" i="3"/>
  <c r="A31" i="3"/>
  <c r="C30" i="3"/>
  <c r="B30" i="3"/>
  <c r="A30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C29" i="3"/>
  <c r="B29" i="3"/>
  <c r="A29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C28" i="3"/>
  <c r="B28" i="3"/>
  <c r="A28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C27" i="3"/>
  <c r="B27" i="3"/>
  <c r="A27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C26" i="3"/>
  <c r="B26" i="3"/>
  <c r="A26" i="3"/>
  <c r="C25" i="3"/>
  <c r="B25" i="3"/>
  <c r="A25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C24" i="3"/>
  <c r="B24" i="3"/>
  <c r="A24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C23" i="3"/>
  <c r="B23" i="3"/>
  <c r="A23" i="3"/>
  <c r="C22" i="3"/>
  <c r="B22" i="3"/>
  <c r="A22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C21" i="3"/>
  <c r="B21" i="3"/>
  <c r="A21" i="3"/>
  <c r="C20" i="3"/>
  <c r="B20" i="3"/>
  <c r="A20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C19" i="3"/>
  <c r="B19" i="3"/>
  <c r="A19" i="3"/>
  <c r="C18" i="3"/>
  <c r="B18" i="3"/>
  <c r="A18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C17" i="3"/>
  <c r="B17" i="3"/>
  <c r="A17" i="3"/>
  <c r="C16" i="3"/>
  <c r="B16" i="3"/>
  <c r="A16" i="3"/>
  <c r="C15" i="3"/>
  <c r="B15" i="3"/>
  <c r="A15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C14" i="3"/>
  <c r="B14" i="3"/>
  <c r="A14" i="3"/>
  <c r="C13" i="3"/>
  <c r="B13" i="3"/>
  <c r="A13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C12" i="3"/>
  <c r="B12" i="3"/>
  <c r="A12" i="3"/>
  <c r="C11" i="3"/>
  <c r="B11" i="3"/>
  <c r="A11" i="3"/>
  <c r="D22" i="1"/>
  <c r="E22" i="1" s="1"/>
  <c r="A2" i="19" s="1"/>
  <c r="D23" i="1"/>
  <c r="A1" i="20" s="1"/>
  <c r="D5" i="20" s="1"/>
  <c r="D24" i="1"/>
  <c r="A1" i="21" s="1"/>
  <c r="D5" i="21" s="1"/>
  <c r="D21" i="1" l="1"/>
  <c r="A1" i="19"/>
  <c r="D25" i="1"/>
  <c r="D4" i="20"/>
  <c r="E24" i="1"/>
  <c r="A2" i="21" s="1"/>
  <c r="D4" i="21"/>
  <c r="E23" i="1"/>
  <c r="A2" i="20" s="1"/>
  <c r="E4" i="21" l="1"/>
  <c r="D10" i="21"/>
  <c r="D9" i="21"/>
  <c r="D10" i="20"/>
  <c r="D9" i="20"/>
  <c r="E4" i="20"/>
  <c r="A1" i="22"/>
  <c r="E25" i="1"/>
  <c r="A2" i="22" s="1"/>
  <c r="D26" i="1"/>
  <c r="D4" i="19"/>
  <c r="D5" i="19"/>
  <c r="A1" i="3"/>
  <c r="E21" i="1"/>
  <c r="A1" i="18"/>
  <c r="E10" i="20" l="1"/>
  <c r="E9" i="20"/>
  <c r="F4" i="20"/>
  <c r="D4" i="3"/>
  <c r="D5" i="3"/>
  <c r="E4" i="19"/>
  <c r="D10" i="19"/>
  <c r="D9" i="19"/>
  <c r="D4" i="22"/>
  <c r="D5" i="22"/>
  <c r="D5" i="18"/>
  <c r="D4" i="18"/>
  <c r="A1" i="23"/>
  <c r="D27" i="1"/>
  <c r="E26" i="1"/>
  <c r="A2" i="23" s="1"/>
  <c r="A2" i="18"/>
  <c r="A2" i="3"/>
  <c r="E9" i="21"/>
  <c r="F4" i="21"/>
  <c r="E10" i="21"/>
  <c r="F4" i="19" l="1"/>
  <c r="E10" i="19"/>
  <c r="E9" i="19"/>
  <c r="D10" i="22"/>
  <c r="E4" i="22"/>
  <c r="D9" i="22"/>
  <c r="F9" i="21"/>
  <c r="G4" i="21"/>
  <c r="F10" i="21"/>
  <c r="E4" i="3"/>
  <c r="D10" i="3"/>
  <c r="D9" i="3"/>
  <c r="D10" i="18"/>
  <c r="D9" i="18"/>
  <c r="E4" i="18"/>
  <c r="G4" i="20"/>
  <c r="F9" i="20"/>
  <c r="F10" i="20"/>
  <c r="A1" i="24"/>
  <c r="D28" i="1"/>
  <c r="E27" i="1"/>
  <c r="A2" i="24" s="1"/>
  <c r="D5" i="23"/>
  <c r="D4" i="23"/>
  <c r="D10" i="23" l="1"/>
  <c r="E4" i="23"/>
  <c r="D9" i="23"/>
  <c r="A1" i="25"/>
  <c r="E28" i="1"/>
  <c r="A2" i="25" s="1"/>
  <c r="D29" i="1"/>
  <c r="E9" i="18"/>
  <c r="E10" i="18"/>
  <c r="F4" i="18"/>
  <c r="E10" i="3"/>
  <c r="F4" i="3"/>
  <c r="E9" i="3"/>
  <c r="D5" i="24"/>
  <c r="D4" i="24"/>
  <c r="E10" i="22"/>
  <c r="F4" i="22"/>
  <c r="E9" i="22"/>
  <c r="G10" i="21"/>
  <c r="H4" i="21"/>
  <c r="G9" i="21"/>
  <c r="H4" i="20"/>
  <c r="G9" i="20"/>
  <c r="G10" i="20"/>
  <c r="F10" i="19"/>
  <c r="F9" i="19"/>
  <c r="G4" i="19"/>
  <c r="I4" i="20" l="1"/>
  <c r="H10" i="20"/>
  <c r="H9" i="20"/>
  <c r="F9" i="18"/>
  <c r="F10" i="18"/>
  <c r="G4" i="18"/>
  <c r="D5" i="25"/>
  <c r="D4" i="25"/>
  <c r="F10" i="3"/>
  <c r="G4" i="3"/>
  <c r="F9" i="3"/>
  <c r="A1" i="26"/>
  <c r="D30" i="1"/>
  <c r="E29" i="1"/>
  <c r="A2" i="26" s="1"/>
  <c r="G4" i="22"/>
  <c r="F9" i="22"/>
  <c r="F10" i="22"/>
  <c r="G10" i="19"/>
  <c r="G9" i="19"/>
  <c r="H4" i="19"/>
  <c r="D9" i="24"/>
  <c r="E4" i="24"/>
  <c r="D10" i="24"/>
  <c r="E10" i="23"/>
  <c r="F4" i="23"/>
  <c r="E9" i="23"/>
  <c r="H10" i="21"/>
  <c r="H9" i="21"/>
  <c r="I4" i="21"/>
  <c r="E10" i="24" l="1"/>
  <c r="E9" i="24"/>
  <c r="F4" i="24"/>
  <c r="H9" i="19"/>
  <c r="H10" i="19"/>
  <c r="I4" i="19"/>
  <c r="H4" i="18"/>
  <c r="G9" i="18"/>
  <c r="G10" i="18"/>
  <c r="G9" i="3"/>
  <c r="G10" i="3"/>
  <c r="H4" i="3"/>
  <c r="I9" i="21"/>
  <c r="J4" i="21"/>
  <c r="I10" i="21"/>
  <c r="H4" i="22"/>
  <c r="G10" i="22"/>
  <c r="G9" i="22"/>
  <c r="D5" i="26"/>
  <c r="D4" i="26"/>
  <c r="E4" i="25"/>
  <c r="D10" i="25"/>
  <c r="D9" i="25"/>
  <c r="F10" i="23"/>
  <c r="G4" i="23"/>
  <c r="F9" i="23"/>
  <c r="A1" i="27"/>
  <c r="D31" i="1"/>
  <c r="E30" i="1"/>
  <c r="A2" i="27" s="1"/>
  <c r="J4" i="20"/>
  <c r="I10" i="20"/>
  <c r="I9" i="20"/>
  <c r="I4" i="3" l="1"/>
  <c r="H9" i="3"/>
  <c r="H10" i="3"/>
  <c r="H9" i="18"/>
  <c r="H10" i="18"/>
  <c r="I4" i="18"/>
  <c r="A1" i="28"/>
  <c r="D32" i="1"/>
  <c r="E31" i="1"/>
  <c r="A2" i="28" s="1"/>
  <c r="H9" i="22"/>
  <c r="H10" i="22"/>
  <c r="I4" i="22"/>
  <c r="K4" i="20"/>
  <c r="J10" i="20"/>
  <c r="J9" i="20"/>
  <c r="I9" i="19"/>
  <c r="J4" i="19"/>
  <c r="I10" i="19"/>
  <c r="F9" i="24"/>
  <c r="G4" i="24"/>
  <c r="F10" i="24"/>
  <c r="E10" i="25"/>
  <c r="F4" i="25"/>
  <c r="E9" i="25"/>
  <c r="E4" i="26"/>
  <c r="D9" i="26"/>
  <c r="D10" i="26"/>
  <c r="D4" i="27"/>
  <c r="D5" i="27"/>
  <c r="J10" i="21"/>
  <c r="K4" i="21"/>
  <c r="J9" i="21"/>
  <c r="G10" i="23"/>
  <c r="H4" i="23"/>
  <c r="G9" i="23"/>
  <c r="A1" i="29" l="1"/>
  <c r="D33" i="1"/>
  <c r="E32" i="1"/>
  <c r="A2" i="29" s="1"/>
  <c r="D5" i="28"/>
  <c r="D4" i="28"/>
  <c r="F9" i="25"/>
  <c r="G4" i="25"/>
  <c r="F10" i="25"/>
  <c r="H10" i="23"/>
  <c r="I4" i="23"/>
  <c r="H9" i="23"/>
  <c r="I9" i="18"/>
  <c r="J4" i="18"/>
  <c r="I10" i="18"/>
  <c r="J9" i="19"/>
  <c r="K4" i="19"/>
  <c r="J10" i="19"/>
  <c r="K10" i="21"/>
  <c r="K9" i="21"/>
  <c r="L4" i="21"/>
  <c r="E4" i="27"/>
  <c r="D9" i="27"/>
  <c r="D10" i="27"/>
  <c r="I9" i="22"/>
  <c r="I10" i="22"/>
  <c r="J4" i="22"/>
  <c r="G9" i="24"/>
  <c r="H4" i="24"/>
  <c r="G10" i="24"/>
  <c r="E9" i="26"/>
  <c r="F4" i="26"/>
  <c r="E10" i="26"/>
  <c r="K9" i="20"/>
  <c r="K10" i="20"/>
  <c r="L4" i="20"/>
  <c r="I9" i="3"/>
  <c r="J4" i="3"/>
  <c r="I10" i="3"/>
  <c r="J4" i="23" l="1"/>
  <c r="I9" i="23"/>
  <c r="I10" i="23"/>
  <c r="M4" i="21"/>
  <c r="L10" i="21"/>
  <c r="L9" i="21"/>
  <c r="E10" i="27"/>
  <c r="E9" i="27"/>
  <c r="F4" i="27"/>
  <c r="F9" i="26"/>
  <c r="G4" i="26"/>
  <c r="F10" i="26"/>
  <c r="H4" i="25"/>
  <c r="G10" i="25"/>
  <c r="G9" i="25"/>
  <c r="L9" i="20"/>
  <c r="L10" i="20"/>
  <c r="M4" i="20"/>
  <c r="D10" i="28"/>
  <c r="E4" i="28"/>
  <c r="D9" i="28"/>
  <c r="K9" i="19"/>
  <c r="L4" i="19"/>
  <c r="K10" i="19"/>
  <c r="H9" i="24"/>
  <c r="I4" i="24"/>
  <c r="H10" i="24"/>
  <c r="J9" i="22"/>
  <c r="J10" i="22"/>
  <c r="K4" i="22"/>
  <c r="A1" i="30"/>
  <c r="E33" i="1"/>
  <c r="A2" i="30" s="1"/>
  <c r="D34" i="1"/>
  <c r="J9" i="3"/>
  <c r="J10" i="3"/>
  <c r="K4" i="3"/>
  <c r="J10" i="18"/>
  <c r="J9" i="18"/>
  <c r="K4" i="18"/>
  <c r="D5" i="29"/>
  <c r="D4" i="29"/>
  <c r="H4" i="26" l="1"/>
  <c r="G10" i="26"/>
  <c r="G9" i="26"/>
  <c r="F9" i="27"/>
  <c r="G4" i="27"/>
  <c r="F10" i="27"/>
  <c r="E10" i="28"/>
  <c r="F4" i="28"/>
  <c r="E9" i="28"/>
  <c r="L9" i="19"/>
  <c r="M4" i="19"/>
  <c r="L10" i="19"/>
  <c r="D4" i="30"/>
  <c r="D5" i="30"/>
  <c r="M10" i="20"/>
  <c r="M9" i="20"/>
  <c r="N4" i="20"/>
  <c r="A1" i="31"/>
  <c r="E34" i="1"/>
  <c r="A2" i="31" s="1"/>
  <c r="L4" i="3"/>
  <c r="K9" i="3"/>
  <c r="K10" i="3"/>
  <c r="K9" i="22"/>
  <c r="K10" i="22"/>
  <c r="L4" i="22"/>
  <c r="D9" i="29"/>
  <c r="D10" i="29"/>
  <c r="E4" i="29"/>
  <c r="N4" i="21"/>
  <c r="M10" i="21"/>
  <c r="M9" i="21"/>
  <c r="L4" i="18"/>
  <c r="K9" i="18"/>
  <c r="K10" i="18"/>
  <c r="J4" i="24"/>
  <c r="I10" i="24"/>
  <c r="I9" i="24"/>
  <c r="H10" i="25"/>
  <c r="I4" i="25"/>
  <c r="H9" i="25"/>
  <c r="K4" i="23"/>
  <c r="J9" i="23"/>
  <c r="J10" i="23"/>
  <c r="M10" i="19" l="1"/>
  <c r="M9" i="19"/>
  <c r="N4" i="19"/>
  <c r="K4" i="24"/>
  <c r="J10" i="24"/>
  <c r="J9" i="24"/>
  <c r="M4" i="18"/>
  <c r="L10" i="18"/>
  <c r="L9" i="18"/>
  <c r="M4" i="3"/>
  <c r="L10" i="3"/>
  <c r="L9" i="3"/>
  <c r="G4" i="28"/>
  <c r="F10" i="28"/>
  <c r="F9" i="28"/>
  <c r="D5" i="31"/>
  <c r="D4" i="31"/>
  <c r="K9" i="23"/>
  <c r="K10" i="23"/>
  <c r="L4" i="23"/>
  <c r="N10" i="21"/>
  <c r="N9" i="21"/>
  <c r="O4" i="21"/>
  <c r="N10" i="20"/>
  <c r="N9" i="20"/>
  <c r="O4" i="20"/>
  <c r="H4" i="27"/>
  <c r="G9" i="27"/>
  <c r="G10" i="27"/>
  <c r="F4" i="29"/>
  <c r="E10" i="29"/>
  <c r="E9" i="29"/>
  <c r="J4" i="25"/>
  <c r="I9" i="25"/>
  <c r="I10" i="25"/>
  <c r="L9" i="22"/>
  <c r="M4" i="22"/>
  <c r="L10" i="22"/>
  <c r="D10" i="30"/>
  <c r="E4" i="30"/>
  <c r="D9" i="30"/>
  <c r="H10" i="26"/>
  <c r="I4" i="26"/>
  <c r="H9" i="26"/>
  <c r="N4" i="3" l="1"/>
  <c r="M10" i="3"/>
  <c r="M9" i="3"/>
  <c r="L9" i="23"/>
  <c r="L10" i="23"/>
  <c r="M4" i="23"/>
  <c r="M9" i="18"/>
  <c r="N4" i="18"/>
  <c r="M10" i="18"/>
  <c r="K4" i="25"/>
  <c r="J9" i="25"/>
  <c r="J10" i="25"/>
  <c r="F9" i="29"/>
  <c r="F10" i="29"/>
  <c r="G4" i="29"/>
  <c r="D9" i="31"/>
  <c r="D10" i="31"/>
  <c r="E4" i="31"/>
  <c r="I9" i="26"/>
  <c r="J4" i="26"/>
  <c r="I10" i="26"/>
  <c r="L4" i="24"/>
  <c r="K10" i="24"/>
  <c r="K9" i="24"/>
  <c r="E10" i="30"/>
  <c r="F4" i="30"/>
  <c r="E9" i="30"/>
  <c r="O9" i="21"/>
  <c r="O10" i="21"/>
  <c r="P4" i="21"/>
  <c r="H9" i="27"/>
  <c r="I4" i="27"/>
  <c r="H10" i="27"/>
  <c r="O4" i="19"/>
  <c r="N10" i="19"/>
  <c r="N9" i="19"/>
  <c r="O10" i="20"/>
  <c r="O9" i="20"/>
  <c r="P4" i="20"/>
  <c r="M10" i="22"/>
  <c r="N4" i="22"/>
  <c r="M9" i="22"/>
  <c r="G9" i="28"/>
  <c r="H4" i="28"/>
  <c r="G10" i="28"/>
  <c r="K10" i="25" l="1"/>
  <c r="K9" i="25"/>
  <c r="L4" i="25"/>
  <c r="L9" i="24"/>
  <c r="M4" i="24"/>
  <c r="L10" i="24"/>
  <c r="K4" i="26"/>
  <c r="J10" i="26"/>
  <c r="J9" i="26"/>
  <c r="O4" i="18"/>
  <c r="N10" i="18"/>
  <c r="N9" i="18"/>
  <c r="E10" i="31"/>
  <c r="F4" i="31"/>
  <c r="E9" i="31"/>
  <c r="M9" i="23"/>
  <c r="M10" i="23"/>
  <c r="N4" i="23"/>
  <c r="P4" i="19"/>
  <c r="O10" i="19"/>
  <c r="O9" i="19"/>
  <c r="N10" i="22"/>
  <c r="N9" i="22"/>
  <c r="O4" i="22"/>
  <c r="I9" i="27"/>
  <c r="J4" i="27"/>
  <c r="I10" i="27"/>
  <c r="Q4" i="21"/>
  <c r="P10" i="21"/>
  <c r="P9" i="21"/>
  <c r="P10" i="20"/>
  <c r="P9" i="20"/>
  <c r="Q4" i="20"/>
  <c r="G10" i="29"/>
  <c r="H4" i="29"/>
  <c r="G9" i="29"/>
  <c r="H10" i="28"/>
  <c r="I4" i="28"/>
  <c r="H9" i="28"/>
  <c r="F10" i="30"/>
  <c r="G4" i="30"/>
  <c r="F9" i="30"/>
  <c r="N9" i="3"/>
  <c r="N10" i="3"/>
  <c r="O4" i="3"/>
  <c r="P4" i="18" l="1"/>
  <c r="O10" i="18"/>
  <c r="O9" i="18"/>
  <c r="Q10" i="20"/>
  <c r="Q9" i="20"/>
  <c r="R4" i="20"/>
  <c r="O10" i="22"/>
  <c r="P4" i="22"/>
  <c r="O9" i="22"/>
  <c r="O9" i="3"/>
  <c r="P4" i="3"/>
  <c r="O10" i="3"/>
  <c r="Q4" i="19"/>
  <c r="P10" i="19"/>
  <c r="P9" i="19"/>
  <c r="K10" i="26"/>
  <c r="K9" i="26"/>
  <c r="L4" i="26"/>
  <c r="N9" i="23"/>
  <c r="N10" i="23"/>
  <c r="O4" i="23"/>
  <c r="H4" i="30"/>
  <c r="G9" i="30"/>
  <c r="G10" i="30"/>
  <c r="N4" i="24"/>
  <c r="M10" i="24"/>
  <c r="M9" i="24"/>
  <c r="Q9" i="21"/>
  <c r="Q10" i="21"/>
  <c r="R4" i="21"/>
  <c r="H10" i="29"/>
  <c r="H9" i="29"/>
  <c r="I4" i="29"/>
  <c r="L9" i="25"/>
  <c r="L10" i="25"/>
  <c r="M4" i="25"/>
  <c r="I9" i="28"/>
  <c r="I10" i="28"/>
  <c r="J4" i="28"/>
  <c r="J10" i="27"/>
  <c r="J9" i="27"/>
  <c r="K4" i="27"/>
  <c r="F10" i="31"/>
  <c r="G4" i="31"/>
  <c r="F9" i="31"/>
  <c r="P10" i="3" l="1"/>
  <c r="P9" i="3"/>
  <c r="Q4" i="3"/>
  <c r="I4" i="30"/>
  <c r="H9" i="30"/>
  <c r="H10" i="30"/>
  <c r="O9" i="23"/>
  <c r="O10" i="23"/>
  <c r="P4" i="23"/>
  <c r="P10" i="22"/>
  <c r="Q4" i="22"/>
  <c r="P9" i="22"/>
  <c r="J4" i="29"/>
  <c r="I9" i="29"/>
  <c r="I10" i="29"/>
  <c r="G10" i="31"/>
  <c r="H4" i="31"/>
  <c r="G9" i="31"/>
  <c r="L10" i="26"/>
  <c r="M4" i="26"/>
  <c r="L9" i="26"/>
  <c r="S4" i="20"/>
  <c r="R10" i="20"/>
  <c r="R9" i="20"/>
  <c r="N4" i="25"/>
  <c r="M10" i="25"/>
  <c r="M9" i="25"/>
  <c r="K10" i="27"/>
  <c r="L4" i="27"/>
  <c r="K9" i="27"/>
  <c r="R9" i="21"/>
  <c r="S4" i="21"/>
  <c r="R10" i="21"/>
  <c r="K4" i="28"/>
  <c r="J9" i="28"/>
  <c r="J10" i="28"/>
  <c r="N10" i="24"/>
  <c r="N9" i="24"/>
  <c r="O4" i="24"/>
  <c r="R4" i="19"/>
  <c r="Q10" i="19"/>
  <c r="Q9" i="19"/>
  <c r="P10" i="18"/>
  <c r="Q4" i="18"/>
  <c r="P9" i="18"/>
  <c r="Q10" i="22" l="1"/>
  <c r="R4" i="22"/>
  <c r="Q9" i="22"/>
  <c r="P10" i="23"/>
  <c r="Q4" i="23"/>
  <c r="P9" i="23"/>
  <c r="Q9" i="18"/>
  <c r="Q10" i="18"/>
  <c r="R4" i="18"/>
  <c r="N4" i="26"/>
  <c r="M9" i="26"/>
  <c r="M10" i="26"/>
  <c r="S10" i="21"/>
  <c r="S9" i="21"/>
  <c r="T4" i="21"/>
  <c r="L9" i="27"/>
  <c r="M4" i="27"/>
  <c r="L10" i="27"/>
  <c r="H10" i="31"/>
  <c r="I4" i="31"/>
  <c r="H9" i="31"/>
  <c r="K9" i="28"/>
  <c r="K10" i="28"/>
  <c r="L4" i="28"/>
  <c r="T4" i="20"/>
  <c r="S10" i="20"/>
  <c r="S9" i="20"/>
  <c r="R10" i="19"/>
  <c r="R9" i="19"/>
  <c r="S4" i="19"/>
  <c r="I9" i="30"/>
  <c r="I10" i="30"/>
  <c r="J4" i="30"/>
  <c r="O10" i="24"/>
  <c r="O9" i="24"/>
  <c r="P4" i="24"/>
  <c r="R4" i="3"/>
  <c r="Q9" i="3"/>
  <c r="Q10" i="3"/>
  <c r="N9" i="25"/>
  <c r="O4" i="25"/>
  <c r="N10" i="25"/>
  <c r="J9" i="29"/>
  <c r="K4" i="29"/>
  <c r="J10" i="29"/>
  <c r="N10" i="26" l="1"/>
  <c r="N9" i="26"/>
  <c r="O4" i="26"/>
  <c r="R10" i="18"/>
  <c r="R9" i="18"/>
  <c r="S4" i="18"/>
  <c r="L10" i="28"/>
  <c r="L9" i="28"/>
  <c r="M4" i="28"/>
  <c r="K10" i="29"/>
  <c r="L4" i="29"/>
  <c r="K9" i="29"/>
  <c r="I10" i="31"/>
  <c r="J4" i="31"/>
  <c r="I9" i="31"/>
  <c r="J9" i="30"/>
  <c r="J10" i="30"/>
  <c r="K4" i="30"/>
  <c r="O9" i="25"/>
  <c r="P4" i="25"/>
  <c r="O10" i="25"/>
  <c r="N4" i="27"/>
  <c r="M10" i="27"/>
  <c r="M9" i="27"/>
  <c r="Q10" i="23"/>
  <c r="R4" i="23"/>
  <c r="Q9" i="23"/>
  <c r="S10" i="19"/>
  <c r="S9" i="19"/>
  <c r="T4" i="19"/>
  <c r="T10" i="21"/>
  <c r="T9" i="21"/>
  <c r="U4" i="21"/>
  <c r="S4" i="22"/>
  <c r="R9" i="22"/>
  <c r="R10" i="22"/>
  <c r="P10" i="24"/>
  <c r="P9" i="24"/>
  <c r="Q4" i="24"/>
  <c r="R9" i="3"/>
  <c r="R10" i="3"/>
  <c r="S4" i="3"/>
  <c r="T9" i="20"/>
  <c r="U4" i="20"/>
  <c r="T10" i="20"/>
  <c r="N10" i="27" l="1"/>
  <c r="O4" i="27"/>
  <c r="N9" i="27"/>
  <c r="M9" i="28"/>
  <c r="M10" i="28"/>
  <c r="N4" i="28"/>
  <c r="R10" i="23"/>
  <c r="S4" i="23"/>
  <c r="R9" i="23"/>
  <c r="L9" i="29"/>
  <c r="L10" i="29"/>
  <c r="M4" i="29"/>
  <c r="Q4" i="25"/>
  <c r="P10" i="25"/>
  <c r="P9" i="25"/>
  <c r="U9" i="20"/>
  <c r="V4" i="20"/>
  <c r="U10" i="20"/>
  <c r="S10" i="3"/>
  <c r="T4" i="3"/>
  <c r="S9" i="3"/>
  <c r="T9" i="19"/>
  <c r="T10" i="19"/>
  <c r="U4" i="19"/>
  <c r="K9" i="30"/>
  <c r="K10" i="30"/>
  <c r="L4" i="30"/>
  <c r="S9" i="18"/>
  <c r="S10" i="18"/>
  <c r="T4" i="18"/>
  <c r="K4" i="31"/>
  <c r="J9" i="31"/>
  <c r="J10" i="31"/>
  <c r="U9" i="21"/>
  <c r="V4" i="21"/>
  <c r="U10" i="21"/>
  <c r="T4" i="22"/>
  <c r="S10" i="22"/>
  <c r="S9" i="22"/>
  <c r="Q10" i="24"/>
  <c r="Q9" i="24"/>
  <c r="R4" i="24"/>
  <c r="O9" i="26"/>
  <c r="P4" i="26"/>
  <c r="O10" i="26"/>
  <c r="V10" i="21" l="1"/>
  <c r="W4" i="21"/>
  <c r="V9" i="21"/>
  <c r="T9" i="3"/>
  <c r="T10" i="3"/>
  <c r="U4" i="3"/>
  <c r="S10" i="23"/>
  <c r="T4" i="23"/>
  <c r="S9" i="23"/>
  <c r="T9" i="22"/>
  <c r="T10" i="22"/>
  <c r="U4" i="22"/>
  <c r="Q4" i="26"/>
  <c r="P9" i="26"/>
  <c r="P10" i="26"/>
  <c r="L4" i="31"/>
  <c r="K9" i="31"/>
  <c r="K10" i="31"/>
  <c r="U10" i="19"/>
  <c r="U9" i="19"/>
  <c r="V4" i="19"/>
  <c r="O4" i="28"/>
  <c r="N10" i="28"/>
  <c r="N9" i="28"/>
  <c r="R9" i="24"/>
  <c r="S4" i="24"/>
  <c r="R10" i="24"/>
  <c r="T9" i="18"/>
  <c r="U4" i="18"/>
  <c r="T10" i="18"/>
  <c r="W4" i="20"/>
  <c r="V10" i="20"/>
  <c r="V9" i="20"/>
  <c r="N4" i="29"/>
  <c r="M10" i="29"/>
  <c r="M9" i="29"/>
  <c r="L9" i="30"/>
  <c r="L10" i="30"/>
  <c r="M4" i="30"/>
  <c r="P4" i="27"/>
  <c r="O9" i="27"/>
  <c r="O10" i="27"/>
  <c r="Q10" i="25"/>
  <c r="R4" i="25"/>
  <c r="Q9" i="25"/>
  <c r="N9" i="29" l="1"/>
  <c r="N10" i="29"/>
  <c r="O4" i="29"/>
  <c r="O9" i="28"/>
  <c r="O10" i="28"/>
  <c r="P4" i="28"/>
  <c r="V9" i="19"/>
  <c r="W4" i="19"/>
  <c r="V10" i="19"/>
  <c r="R9" i="25"/>
  <c r="S4" i="25"/>
  <c r="R10" i="25"/>
  <c r="T10" i="23"/>
  <c r="U4" i="23"/>
  <c r="T9" i="23"/>
  <c r="U10" i="3"/>
  <c r="V4" i="3"/>
  <c r="U9" i="3"/>
  <c r="W9" i="20"/>
  <c r="X4" i="20"/>
  <c r="W10" i="20"/>
  <c r="U9" i="18"/>
  <c r="V4" i="18"/>
  <c r="U10" i="18"/>
  <c r="Q4" i="27"/>
  <c r="P9" i="27"/>
  <c r="P10" i="27"/>
  <c r="L9" i="31"/>
  <c r="L10" i="31"/>
  <c r="M4" i="31"/>
  <c r="M9" i="30"/>
  <c r="M10" i="30"/>
  <c r="N4" i="30"/>
  <c r="U9" i="22"/>
  <c r="U10" i="22"/>
  <c r="V4" i="22"/>
  <c r="T4" i="24"/>
  <c r="S9" i="24"/>
  <c r="S10" i="24"/>
  <c r="W10" i="21"/>
  <c r="W9" i="21"/>
  <c r="X4" i="21"/>
  <c r="Q9" i="26"/>
  <c r="R4" i="26"/>
  <c r="Q10" i="26"/>
  <c r="T4" i="25" l="1"/>
  <c r="S10" i="25"/>
  <c r="S9" i="25"/>
  <c r="X9" i="20"/>
  <c r="Y4" i="20"/>
  <c r="X10" i="20"/>
  <c r="W9" i="19"/>
  <c r="X4" i="19"/>
  <c r="W10" i="19"/>
  <c r="V10" i="18"/>
  <c r="V9" i="18"/>
  <c r="W4" i="18"/>
  <c r="N10" i="30"/>
  <c r="O4" i="30"/>
  <c r="N9" i="30"/>
  <c r="M9" i="31"/>
  <c r="M10" i="31"/>
  <c r="N4" i="31"/>
  <c r="Y4" i="21"/>
  <c r="X9" i="21"/>
  <c r="X10" i="21"/>
  <c r="P10" i="28"/>
  <c r="Q4" i="28"/>
  <c r="P9" i="28"/>
  <c r="V9" i="3"/>
  <c r="W4" i="3"/>
  <c r="V10" i="3"/>
  <c r="V9" i="22"/>
  <c r="V10" i="22"/>
  <c r="W4" i="22"/>
  <c r="R9" i="26"/>
  <c r="S4" i="26"/>
  <c r="R10" i="26"/>
  <c r="O10" i="29"/>
  <c r="O9" i="29"/>
  <c r="P4" i="29"/>
  <c r="V4" i="23"/>
  <c r="U9" i="23"/>
  <c r="U10" i="23"/>
  <c r="T9" i="24"/>
  <c r="U4" i="24"/>
  <c r="T10" i="24"/>
  <c r="Q10" i="27"/>
  <c r="Q9" i="27"/>
  <c r="R4" i="27"/>
  <c r="W9" i="18" l="1"/>
  <c r="X4" i="18"/>
  <c r="W10" i="18"/>
  <c r="Q10" i="28"/>
  <c r="Q9" i="28"/>
  <c r="R4" i="28"/>
  <c r="T4" i="26"/>
  <c r="S10" i="26"/>
  <c r="S9" i="26"/>
  <c r="X9" i="19"/>
  <c r="Y4" i="19"/>
  <c r="X10" i="19"/>
  <c r="Z4" i="21"/>
  <c r="Y10" i="21"/>
  <c r="Y9" i="21"/>
  <c r="W9" i="22"/>
  <c r="W10" i="22"/>
  <c r="X4" i="22"/>
  <c r="N9" i="31"/>
  <c r="N10" i="31"/>
  <c r="O4" i="31"/>
  <c r="U9" i="24"/>
  <c r="V4" i="24"/>
  <c r="U10" i="24"/>
  <c r="Y10" i="20"/>
  <c r="Y9" i="20"/>
  <c r="Z4" i="20"/>
  <c r="R9" i="27"/>
  <c r="S4" i="27"/>
  <c r="R10" i="27"/>
  <c r="P10" i="29"/>
  <c r="Q4" i="29"/>
  <c r="P9" i="29"/>
  <c r="W9" i="3"/>
  <c r="W10" i="3"/>
  <c r="X4" i="3"/>
  <c r="O10" i="30"/>
  <c r="P4" i="30"/>
  <c r="O9" i="30"/>
  <c r="W4" i="23"/>
  <c r="V9" i="23"/>
  <c r="V10" i="23"/>
  <c r="T10" i="25"/>
  <c r="U4" i="25"/>
  <c r="T9" i="25"/>
  <c r="O9" i="31" l="1"/>
  <c r="O10" i="31"/>
  <c r="P4" i="31"/>
  <c r="W4" i="24"/>
  <c r="V10" i="24"/>
  <c r="V9" i="24"/>
  <c r="T10" i="26"/>
  <c r="U4" i="26"/>
  <c r="T9" i="26"/>
  <c r="R4" i="29"/>
  <c r="Q10" i="29"/>
  <c r="Q9" i="29"/>
  <c r="S4" i="28"/>
  <c r="R9" i="28"/>
  <c r="R10" i="28"/>
  <c r="T4" i="27"/>
  <c r="S9" i="27"/>
  <c r="S10" i="27"/>
  <c r="Y10" i="19"/>
  <c r="Y9" i="19"/>
  <c r="Z4" i="19"/>
  <c r="X9" i="22"/>
  <c r="Y4" i="22"/>
  <c r="X10" i="22"/>
  <c r="W9" i="23"/>
  <c r="W10" i="23"/>
  <c r="X4" i="23"/>
  <c r="X9" i="3"/>
  <c r="Y4" i="3"/>
  <c r="X10" i="3"/>
  <c r="V4" i="25"/>
  <c r="U9" i="25"/>
  <c r="U10" i="25"/>
  <c r="Z10" i="20"/>
  <c r="Z9" i="20"/>
  <c r="AA4" i="20"/>
  <c r="P10" i="30"/>
  <c r="Q4" i="30"/>
  <c r="P9" i="30"/>
  <c r="Y4" i="18"/>
  <c r="X9" i="18"/>
  <c r="X10" i="18"/>
  <c r="Z10" i="21"/>
  <c r="Z9" i="21"/>
  <c r="AA4" i="21"/>
  <c r="R9" i="29" l="1"/>
  <c r="R10" i="29"/>
  <c r="S4" i="29"/>
  <c r="AA9" i="21"/>
  <c r="AB4" i="21"/>
  <c r="AA10" i="21"/>
  <c r="AA4" i="19"/>
  <c r="Z10" i="19"/>
  <c r="Z9" i="19"/>
  <c r="U9" i="26"/>
  <c r="V4" i="26"/>
  <c r="U10" i="26"/>
  <c r="Y10" i="22"/>
  <c r="Z4" i="22"/>
  <c r="Y9" i="22"/>
  <c r="Y9" i="3"/>
  <c r="Y10" i="3"/>
  <c r="Z4" i="3"/>
  <c r="T9" i="27"/>
  <c r="U4" i="27"/>
  <c r="T10" i="27"/>
  <c r="X4" i="24"/>
  <c r="W10" i="24"/>
  <c r="W9" i="24"/>
  <c r="AA9" i="20"/>
  <c r="AA10" i="20"/>
  <c r="AB4" i="20"/>
  <c r="W4" i="25"/>
  <c r="V9" i="25"/>
  <c r="V10" i="25"/>
  <c r="Z4" i="18"/>
  <c r="Y10" i="18"/>
  <c r="Y9" i="18"/>
  <c r="X9" i="23"/>
  <c r="X10" i="23"/>
  <c r="Y4" i="23"/>
  <c r="P9" i="31"/>
  <c r="P10" i="31"/>
  <c r="Q4" i="31"/>
  <c r="Q10" i="30"/>
  <c r="R4" i="30"/>
  <c r="Q9" i="30"/>
  <c r="S9" i="28"/>
  <c r="T4" i="28"/>
  <c r="S10" i="28"/>
  <c r="W4" i="26" l="1"/>
  <c r="V10" i="26"/>
  <c r="V9" i="26"/>
  <c r="X9" i="24"/>
  <c r="Y4" i="24"/>
  <c r="X10" i="24"/>
  <c r="T10" i="28"/>
  <c r="U4" i="28"/>
  <c r="T9" i="28"/>
  <c r="Y9" i="23"/>
  <c r="Y10" i="23"/>
  <c r="Z4" i="23"/>
  <c r="AA4" i="18"/>
  <c r="Z10" i="18"/>
  <c r="Z9" i="18"/>
  <c r="AB4" i="19"/>
  <c r="AA10" i="19"/>
  <c r="AA9" i="19"/>
  <c r="AA4" i="3"/>
  <c r="Z9" i="3"/>
  <c r="Z10" i="3"/>
  <c r="AC4" i="21"/>
  <c r="AB10" i="21"/>
  <c r="AB9" i="21"/>
  <c r="R10" i="30"/>
  <c r="S4" i="30"/>
  <c r="R9" i="30"/>
  <c r="W10" i="25"/>
  <c r="W9" i="25"/>
  <c r="X4" i="25"/>
  <c r="AB10" i="20"/>
  <c r="AC4" i="20"/>
  <c r="AB9" i="20"/>
  <c r="S10" i="29"/>
  <c r="T4" i="29"/>
  <c r="S9" i="29"/>
  <c r="U9" i="27"/>
  <c r="V4" i="27"/>
  <c r="U10" i="27"/>
  <c r="Q10" i="31"/>
  <c r="R4" i="31"/>
  <c r="Q9" i="31"/>
  <c r="Z10" i="22"/>
  <c r="Z9" i="22"/>
  <c r="AA4" i="22"/>
  <c r="T10" i="29" l="1"/>
  <c r="U4" i="29"/>
  <c r="T9" i="29"/>
  <c r="AC9" i="21"/>
  <c r="AD4" i="21"/>
  <c r="AC10" i="21"/>
  <c r="Z9" i="23"/>
  <c r="Z10" i="23"/>
  <c r="AA4" i="23"/>
  <c r="AC10" i="20"/>
  <c r="AC9" i="20"/>
  <c r="AD4" i="20"/>
  <c r="U9" i="28"/>
  <c r="U10" i="28"/>
  <c r="V4" i="28"/>
  <c r="X9" i="25"/>
  <c r="Y4" i="25"/>
  <c r="X10" i="25"/>
  <c r="Z4" i="24"/>
  <c r="Y10" i="24"/>
  <c r="Y9" i="24"/>
  <c r="AA10" i="22"/>
  <c r="AB4" i="22"/>
  <c r="AA9" i="22"/>
  <c r="AC4" i="19"/>
  <c r="AB10" i="19"/>
  <c r="AB9" i="19"/>
  <c r="R10" i="31"/>
  <c r="S4" i="31"/>
  <c r="R9" i="31"/>
  <c r="T4" i="30"/>
  <c r="S9" i="30"/>
  <c r="S10" i="30"/>
  <c r="AA9" i="3"/>
  <c r="AB4" i="3"/>
  <c r="AA10" i="3"/>
  <c r="W4" i="27"/>
  <c r="V10" i="27"/>
  <c r="V9" i="27"/>
  <c r="AB4" i="18"/>
  <c r="AA10" i="18"/>
  <c r="AA9" i="18"/>
  <c r="W10" i="26"/>
  <c r="X4" i="26"/>
  <c r="W9" i="26"/>
  <c r="AB9" i="3" l="1"/>
  <c r="AB10" i="3"/>
  <c r="AC4" i="3"/>
  <c r="AA9" i="23"/>
  <c r="AA10" i="23"/>
  <c r="AB4" i="23"/>
  <c r="AE4" i="20"/>
  <c r="AD10" i="20"/>
  <c r="AD9" i="20"/>
  <c r="AB10" i="22"/>
  <c r="AC4" i="22"/>
  <c r="AB9" i="22"/>
  <c r="Y4" i="26"/>
  <c r="X9" i="26"/>
  <c r="X10" i="26"/>
  <c r="U4" i="30"/>
  <c r="T9" i="30"/>
  <c r="T10" i="30"/>
  <c r="S10" i="31"/>
  <c r="T4" i="31"/>
  <c r="S9" i="31"/>
  <c r="Z4" i="25"/>
  <c r="Y9" i="25"/>
  <c r="Y10" i="25"/>
  <c r="AD9" i="21"/>
  <c r="AE4" i="21"/>
  <c r="AD10" i="21"/>
  <c r="AA4" i="24"/>
  <c r="Z10" i="24"/>
  <c r="Z9" i="24"/>
  <c r="AC4" i="18"/>
  <c r="AB9" i="18"/>
  <c r="AB10" i="18"/>
  <c r="W4" i="28"/>
  <c r="V10" i="28"/>
  <c r="V9" i="28"/>
  <c r="V4" i="29"/>
  <c r="U10" i="29"/>
  <c r="U9" i="29"/>
  <c r="W10" i="27"/>
  <c r="X4" i="27"/>
  <c r="W9" i="27"/>
  <c r="AD4" i="19"/>
  <c r="AC10" i="19"/>
  <c r="AC9" i="19"/>
  <c r="W9" i="28" l="1"/>
  <c r="W10" i="28"/>
  <c r="X4" i="28"/>
  <c r="Z9" i="25"/>
  <c r="AA4" i="25"/>
  <c r="Z10" i="25"/>
  <c r="V9" i="29"/>
  <c r="W4" i="29"/>
  <c r="V10" i="29"/>
  <c r="AC10" i="22"/>
  <c r="AD4" i="22"/>
  <c r="AC9" i="22"/>
  <c r="AC9" i="18"/>
  <c r="AC10" i="18"/>
  <c r="AD4" i="18"/>
  <c r="AE10" i="20"/>
  <c r="AE9" i="20"/>
  <c r="AB10" i="23"/>
  <c r="AC4" i="23"/>
  <c r="AB9" i="23"/>
  <c r="AE4" i="19"/>
  <c r="AD10" i="19"/>
  <c r="AD9" i="19"/>
  <c r="X9" i="27"/>
  <c r="Y4" i="27"/>
  <c r="X10" i="27"/>
  <c r="T10" i="31"/>
  <c r="U4" i="31"/>
  <c r="T9" i="31"/>
  <c r="AA10" i="24"/>
  <c r="AA9" i="24"/>
  <c r="AB4" i="24"/>
  <c r="U9" i="30"/>
  <c r="U10" i="30"/>
  <c r="V4" i="30"/>
  <c r="AC9" i="3"/>
  <c r="AD4" i="3"/>
  <c r="AC10" i="3"/>
  <c r="AE10" i="21"/>
  <c r="AF4" i="21"/>
  <c r="AE9" i="21"/>
  <c r="Z4" i="26"/>
  <c r="Y9" i="26"/>
  <c r="Y10" i="26"/>
  <c r="V9" i="30" l="1"/>
  <c r="V10" i="30"/>
  <c r="W4" i="30"/>
  <c r="AC10" i="23"/>
  <c r="AD4" i="23"/>
  <c r="AC9" i="23"/>
  <c r="W10" i="29"/>
  <c r="W9" i="29"/>
  <c r="X4" i="29"/>
  <c r="AE4" i="22"/>
  <c r="AD9" i="22"/>
  <c r="AD10" i="22"/>
  <c r="AB10" i="24"/>
  <c r="AB9" i="24"/>
  <c r="AC4" i="24"/>
  <c r="AF10" i="21"/>
  <c r="AF9" i="21"/>
  <c r="AG4" i="21"/>
  <c r="U10" i="31"/>
  <c r="V4" i="31"/>
  <c r="U9" i="31"/>
  <c r="AA9" i="25"/>
  <c r="AB4" i="25"/>
  <c r="AA10" i="25"/>
  <c r="Z10" i="26"/>
  <c r="Z9" i="26"/>
  <c r="AA4" i="26"/>
  <c r="AD10" i="18"/>
  <c r="AD9" i="18"/>
  <c r="AE4" i="18"/>
  <c r="X10" i="28"/>
  <c r="X9" i="28"/>
  <c r="Y4" i="28"/>
  <c r="AE10" i="19"/>
  <c r="AF4" i="19"/>
  <c r="AE9" i="19"/>
  <c r="AD9" i="3"/>
  <c r="AE4" i="3"/>
  <c r="AD10" i="3"/>
  <c r="Z4" i="27"/>
  <c r="Y10" i="27"/>
  <c r="Y9" i="27"/>
  <c r="Y10" i="28" l="1"/>
  <c r="Z4" i="28"/>
  <c r="Y9" i="28"/>
  <c r="AE10" i="18"/>
  <c r="AF4" i="18"/>
  <c r="AE9" i="18"/>
  <c r="Z10" i="27"/>
  <c r="Z9" i="27"/>
  <c r="AA4" i="27"/>
  <c r="AE9" i="3"/>
  <c r="AF4" i="3"/>
  <c r="AE10" i="3"/>
  <c r="AD10" i="23"/>
  <c r="AE4" i="23"/>
  <c r="AD9" i="23"/>
  <c r="X9" i="29"/>
  <c r="X10" i="29"/>
  <c r="Y4" i="29"/>
  <c r="AB10" i="25"/>
  <c r="AB9" i="25"/>
  <c r="AC4" i="25"/>
  <c r="W4" i="31"/>
  <c r="V9" i="31"/>
  <c r="V10" i="31"/>
  <c r="AC10" i="24"/>
  <c r="AC9" i="24"/>
  <c r="AD4" i="24"/>
  <c r="W9" i="30"/>
  <c r="W10" i="30"/>
  <c r="X4" i="30"/>
  <c r="AF4" i="22"/>
  <c r="AE10" i="22"/>
  <c r="AE9" i="22"/>
  <c r="AA9" i="26"/>
  <c r="AA10" i="26"/>
  <c r="AB4" i="26"/>
  <c r="AG9" i="21"/>
  <c r="AH4" i="21"/>
  <c r="AG10" i="21"/>
  <c r="AF9" i="19"/>
  <c r="AF10" i="19"/>
  <c r="AG4" i="19"/>
  <c r="AF9" i="22" l="1"/>
  <c r="AG4" i="22"/>
  <c r="AF10" i="22"/>
  <c r="X4" i="31"/>
  <c r="W9" i="31"/>
  <c r="W10" i="31"/>
  <c r="AG10" i="19"/>
  <c r="AG9" i="19"/>
  <c r="AH4" i="19"/>
  <c r="X9" i="30"/>
  <c r="X10" i="30"/>
  <c r="Y4" i="30"/>
  <c r="AC10" i="25"/>
  <c r="AD4" i="25"/>
  <c r="AC9" i="25"/>
  <c r="AA10" i="27"/>
  <c r="AB4" i="27"/>
  <c r="AA9" i="27"/>
  <c r="AD10" i="24"/>
  <c r="AD9" i="24"/>
  <c r="AE4" i="24"/>
  <c r="Z4" i="29"/>
  <c r="Y9" i="29"/>
  <c r="Y10" i="29"/>
  <c r="AF9" i="3"/>
  <c r="AG4" i="3"/>
  <c r="AF10" i="3"/>
  <c r="AH10" i="21"/>
  <c r="AH9" i="21"/>
  <c r="AF9" i="18"/>
  <c r="AG4" i="18"/>
  <c r="AF10" i="18"/>
  <c r="AA4" i="28"/>
  <c r="Z10" i="28"/>
  <c r="Z9" i="28"/>
  <c r="AC4" i="26"/>
  <c r="AB10" i="26"/>
  <c r="AB9" i="26"/>
  <c r="AE10" i="23"/>
  <c r="AF4" i="23"/>
  <c r="AE9" i="23"/>
  <c r="Y9" i="30" l="1"/>
  <c r="Y10" i="30"/>
  <c r="Z4" i="30"/>
  <c r="AC9" i="26"/>
  <c r="AD4" i="26"/>
  <c r="AC10" i="26"/>
  <c r="AA9" i="28"/>
  <c r="AA10" i="28"/>
  <c r="AB4" i="28"/>
  <c r="AF4" i="24"/>
  <c r="AE9" i="24"/>
  <c r="AE10" i="24"/>
  <c r="AH9" i="19"/>
  <c r="AH10" i="19"/>
  <c r="Z9" i="29"/>
  <c r="Z10" i="29"/>
  <c r="AA4" i="29"/>
  <c r="AG9" i="18"/>
  <c r="AH4" i="18"/>
  <c r="AG10" i="18"/>
  <c r="AC4" i="27"/>
  <c r="AB9" i="27"/>
  <c r="AB10" i="27"/>
  <c r="AD9" i="25"/>
  <c r="AE4" i="25"/>
  <c r="AD10" i="25"/>
  <c r="AG9" i="22"/>
  <c r="AG10" i="22"/>
  <c r="AF10" i="23"/>
  <c r="AG4" i="23"/>
  <c r="AF9" i="23"/>
  <c r="X9" i="31"/>
  <c r="X10" i="31"/>
  <c r="Y4" i="31"/>
  <c r="AH4" i="3"/>
  <c r="AG10" i="3"/>
  <c r="AG9" i="3"/>
  <c r="Y9" i="31" l="1"/>
  <c r="Y10" i="31"/>
  <c r="Z4" i="31"/>
  <c r="AF9" i="24"/>
  <c r="AG4" i="24"/>
  <c r="AF10" i="24"/>
  <c r="AB10" i="28"/>
  <c r="AC4" i="28"/>
  <c r="AB9" i="28"/>
  <c r="AH9" i="3"/>
  <c r="AH10" i="3"/>
  <c r="AH10" i="18"/>
  <c r="AH9" i="18"/>
  <c r="AC10" i="27"/>
  <c r="AC9" i="27"/>
  <c r="AD4" i="27"/>
  <c r="AH4" i="23"/>
  <c r="AG9" i="23"/>
  <c r="AG10" i="23"/>
  <c r="AA10" i="29"/>
  <c r="AA9" i="29"/>
  <c r="AB4" i="29"/>
  <c r="AD9" i="26"/>
  <c r="AE4" i="26"/>
  <c r="AD10" i="26"/>
  <c r="Z10" i="30"/>
  <c r="AA4" i="30"/>
  <c r="Z9" i="30"/>
  <c r="AF4" i="25"/>
  <c r="AE10" i="25"/>
  <c r="AE9" i="25"/>
  <c r="AB9" i="29" l="1"/>
  <c r="AB10" i="29"/>
  <c r="AC4" i="29"/>
  <c r="AC10" i="28"/>
  <c r="AD4" i="28"/>
  <c r="AC9" i="28"/>
  <c r="AA10" i="30"/>
  <c r="AB4" i="30"/>
  <c r="AA9" i="30"/>
  <c r="AH9" i="23"/>
  <c r="AH10" i="23"/>
  <c r="AG9" i="24"/>
  <c r="AG10" i="24"/>
  <c r="AD9" i="27"/>
  <c r="AE4" i="27"/>
  <c r="AD10" i="27"/>
  <c r="AF4" i="26"/>
  <c r="AE10" i="26"/>
  <c r="AE9" i="26"/>
  <c r="AF10" i="25"/>
  <c r="AG4" i="25"/>
  <c r="AF9" i="25"/>
  <c r="Z9" i="31"/>
  <c r="Z10" i="31"/>
  <c r="AA4" i="31"/>
  <c r="AH4" i="25" l="1"/>
  <c r="AG9" i="25"/>
  <c r="AG10" i="25"/>
  <c r="AB10" i="30"/>
  <c r="AC4" i="30"/>
  <c r="AB9" i="30"/>
  <c r="AE4" i="28"/>
  <c r="AD10" i="28"/>
  <c r="AD9" i="28"/>
  <c r="AF4" i="27"/>
  <c r="AE9" i="27"/>
  <c r="AE10" i="27"/>
  <c r="AD4" i="29"/>
  <c r="AC10" i="29"/>
  <c r="AC9" i="29"/>
  <c r="AF10" i="26"/>
  <c r="AG4" i="26"/>
  <c r="AF9" i="26"/>
  <c r="AA9" i="31"/>
  <c r="AA10" i="31"/>
  <c r="AB4" i="31"/>
  <c r="AF9" i="27" l="1"/>
  <c r="AG4" i="27"/>
  <c r="AF10" i="27"/>
  <c r="AC10" i="30"/>
  <c r="AD4" i="30"/>
  <c r="AC9" i="30"/>
  <c r="AE9" i="28"/>
  <c r="AF4" i="28"/>
  <c r="AE10" i="28"/>
  <c r="AB9" i="31"/>
  <c r="AB10" i="31"/>
  <c r="AC4" i="31"/>
  <c r="AG9" i="26"/>
  <c r="AH4" i="26"/>
  <c r="AG10" i="26"/>
  <c r="AD9" i="29"/>
  <c r="AD10" i="29"/>
  <c r="AE4" i="29"/>
  <c r="AH9" i="25"/>
  <c r="AH10" i="25"/>
  <c r="AD10" i="30" l="1"/>
  <c r="AE4" i="30"/>
  <c r="AD9" i="30"/>
  <c r="AC10" i="31"/>
  <c r="AD4" i="31"/>
  <c r="AC9" i="31"/>
  <c r="AF10" i="28"/>
  <c r="AF9" i="28"/>
  <c r="AG4" i="28"/>
  <c r="AE10" i="29"/>
  <c r="AF4" i="29"/>
  <c r="AE9" i="29"/>
  <c r="AG9" i="27"/>
  <c r="AG10" i="27"/>
  <c r="AH10" i="26"/>
  <c r="AH9" i="26"/>
  <c r="AF10" i="29" l="1"/>
  <c r="AG4" i="29"/>
  <c r="AF9" i="29"/>
  <c r="AG9" i="28"/>
  <c r="AG10" i="28"/>
  <c r="AH4" i="28"/>
  <c r="AD10" i="31"/>
  <c r="AE4" i="31"/>
  <c r="AD9" i="31"/>
  <c r="AF4" i="30"/>
  <c r="AE9" i="30"/>
  <c r="AE10" i="30"/>
  <c r="AG4" i="30" l="1"/>
  <c r="AF9" i="30"/>
  <c r="AF10" i="30"/>
  <c r="AH4" i="29"/>
  <c r="AG10" i="29"/>
  <c r="AG9" i="29"/>
  <c r="AE10" i="31"/>
  <c r="AF4" i="31"/>
  <c r="AE9" i="31"/>
  <c r="AH9" i="28"/>
  <c r="AH10" i="28"/>
  <c r="AF10" i="31" l="1"/>
  <c r="AG4" i="31"/>
  <c r="AF9" i="31"/>
  <c r="AH9" i="29"/>
  <c r="AH10" i="29"/>
  <c r="AG9" i="30"/>
  <c r="AG10" i="30"/>
  <c r="AH4" i="30"/>
  <c r="AH9" i="30" l="1"/>
  <c r="AH10" i="30"/>
  <c r="AG10" i="31"/>
  <c r="AH4" i="31"/>
  <c r="AG9" i="31"/>
  <c r="AH9" i="31" l="1"/>
  <c r="AH10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tc={7DB90659-CA33-4A4C-A451-CB56E8ECB913}</author>
    <author>tc={3B953077-5B19-483D-8A13-C7F1CB163521}</author>
    <author>tc={6BF217DB-2B99-4FFF-89C6-DBDA25374B12}</author>
    <author>tc={266B2719-B7B3-4D9A-879F-41DFB01371FF}</author>
    <author>tc={F7490259-EB28-4C4D-9309-062C622E060D}</author>
    <author>tc={601119A6-C1A4-44E0-BD51-586D4E526949}</author>
    <author>tc={9DD5539A-9168-4A43-B4C9-CEB4E46C4B8F}</author>
    <author>tc={C398FDB4-E4E1-4025-9CC7-1DDAAE64C8FA}</author>
  </authors>
  <commentList>
    <comment ref="O19" authorId="0" shapeId="0" xr:uid="{7DB90659-CA33-4A4C-A451-CB56E8ECB913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Recyclage habilitation électrique
</t>
      </text>
    </comment>
    <comment ref="P19" authorId="1" shapeId="0" xr:uid="{3B953077-5B19-483D-8A13-C7F1CB16352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Recyclage habilitation électrique</t>
      </text>
    </comment>
    <comment ref="AE19" authorId="2" shapeId="0" xr:uid="{6BF217DB-2B99-4FFF-89C6-DBDA25374B1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Les opérations d'infrastructures de voirie : les fondamentaux de la maîtrise d'ouvrage</t>
      </text>
    </comment>
    <comment ref="AF19" authorId="3" shapeId="0" xr:uid="{266B2719-B7B3-4D9A-879F-41DFB01371F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Les opérations d'infrastructures de voirie : les fondamentaux de la maîtrise d'ouvrage</t>
      </text>
    </comment>
    <comment ref="AG19" authorId="4" shapeId="0" xr:uid="{F7490259-EB28-4C4D-9309-062C622E06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Les opérations d'infrastructures de voirie : les fondamentaux de la maîtrise d'ouvrage</t>
      </text>
    </comment>
    <comment ref="O31" authorId="5" shapeId="0" xr:uid="{601119A6-C1A4-44E0-BD51-586D4E526949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Recyclage habilitation électrique
</t>
      </text>
    </comment>
    <comment ref="V34" authorId="6" shapeId="0" xr:uid="{9DD5539A-9168-4A43-B4C9-CEB4E46C4B8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CA l'après-midi</t>
      </text>
    </comment>
    <comment ref="W52" authorId="7" shapeId="0" xr:uid="{C398FDB4-E4E1-4025-9CC7-1DDAAE64C8F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APRES MIDI</t>
      </text>
    </comment>
  </commentList>
</comments>
</file>

<file path=xl/sharedStrings.xml><?xml version="1.0" encoding="utf-8"?>
<sst xmlns="http://schemas.openxmlformats.org/spreadsheetml/2006/main" count="2564" uniqueCount="252">
  <si>
    <t>MENU PRINCIPAL - GESTION DU PLANNING</t>
  </si>
  <si>
    <t>1. AJOUTER UN AGENT</t>
  </si>
  <si>
    <t/>
  </si>
  <si>
    <t>Cette macro permet d'ajouter un nouvel agent:</t>
  </si>
  <si>
    <t>- Choisir l'equipe dans la liste deroulante</t>
  </si>
  <si>
    <t>- Saisir le matricule, nom et prenom</t>
  </si>
  <si>
    <t>- L'agent est ajoute dans config ET dans tous les plannings</t>
  </si>
  <si>
    <t>- Les formules sont copiees automatiquement</t>
  </si>
  <si>
    <t>2. GENERER LES PLANNINGS MENSUELS</t>
  </si>
  <si>
    <t>Cette macro genere automatiquement 14 feuilles de planning:</t>
  </si>
  <si>
    <t>Choix de l'année</t>
  </si>
  <si>
    <t>- Choisir l'année depuis la cellule C19                                       ================&gt;</t>
  </si>
  <si>
    <t>- Cree les feuilles de Decembre (annee-1) a Janvier (annee+1)</t>
  </si>
  <si>
    <t>Période créée</t>
  </si>
  <si>
    <t>- Utilise le modele 'Exemple_mois' comme base</t>
  </si>
  <si>
    <t>Décembre</t>
  </si>
  <si>
    <t>- Lit l'annee cible depuis le nom 'Annee' defini dans le classeur</t>
  </si>
  <si>
    <t>Janvier</t>
  </si>
  <si>
    <t>- Configure automatiquement les formules vers la feuille 'config'</t>
  </si>
  <si>
    <t>Février</t>
  </si>
  <si>
    <t>- Supprime et recree les feuilles si elles existent deja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</si>
  <si>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</si>
  <si>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</si>
  <si>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</si>
  <si>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</si>
  <si>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</si>
  <si>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</si>
  <si>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</si>
  <si>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</si>
  <si>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</si>
  <si>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Matricule</t>
  </si>
  <si>
    <t>Nom</t>
  </si>
  <si>
    <t>Prénom</t>
  </si>
  <si>
    <t>Anniversaire</t>
  </si>
  <si>
    <t>Dernières visites médicale</t>
  </si>
  <si>
    <t>Prochaines visites médicale</t>
  </si>
  <si>
    <t>R.482 A (1)</t>
  </si>
  <si>
    <t>R.482 B1 (2)</t>
  </si>
  <si>
    <t>R.482 C2 (3)</t>
  </si>
  <si>
    <t>R.482 C1 (4)</t>
  </si>
  <si>
    <t>R.482 5</t>
  </si>
  <si>
    <t>R.482 D (7)</t>
  </si>
  <si>
    <t>R.482 E (8)</t>
  </si>
  <si>
    <t>R.482 F (9)</t>
  </si>
  <si>
    <t>R.482 G (10)</t>
  </si>
  <si>
    <t>Tondeuse</t>
  </si>
  <si>
    <t>Grue R.490</t>
  </si>
  <si>
    <t>B (Nacelle)</t>
  </si>
  <si>
    <t>Chariot R.489 / 3</t>
  </si>
  <si>
    <t>Tronço</t>
  </si>
  <si>
    <t>Permis BE - REMORQUE</t>
  </si>
  <si>
    <t>Permis PL</t>
  </si>
  <si>
    <t>Permis CE Sup Lourd</t>
  </si>
  <si>
    <t>FIMO</t>
  </si>
  <si>
    <t>AIPR</t>
  </si>
  <si>
    <t>Premiers secours</t>
  </si>
  <si>
    <t>Chauffeur PL</t>
  </si>
  <si>
    <t>Maçon</t>
  </si>
  <si>
    <t>Aide Maçon</t>
  </si>
  <si>
    <t>Enrobé</t>
  </si>
  <si>
    <t>Enginiste</t>
  </si>
  <si>
    <t>Paveur</t>
  </si>
  <si>
    <t>Blowpatcher</t>
  </si>
  <si>
    <t>Responsable du service territorial 8</t>
  </si>
  <si>
    <t>N019002</t>
  </si>
  <si>
    <t>DEBREYNE</t>
  </si>
  <si>
    <t>Audrey</t>
  </si>
  <si>
    <t>Assistant.e comptable</t>
  </si>
  <si>
    <t>N024050</t>
  </si>
  <si>
    <t>LUTARD</t>
  </si>
  <si>
    <t>Karyne</t>
  </si>
  <si>
    <t>CENTRE VOIRIE / ESPACES VERTS</t>
  </si>
  <si>
    <t>Responsable du centre voirie espaces verts</t>
  </si>
  <si>
    <t>N018905</t>
  </si>
  <si>
    <t>HAUTDECOEUR</t>
  </si>
  <si>
    <t>Laurence</t>
  </si>
  <si>
    <t>Chargé.e de la végétalisation</t>
  </si>
  <si>
    <t>N017539</t>
  </si>
  <si>
    <t>VRBOVSKA</t>
  </si>
  <si>
    <t>Xavier</t>
  </si>
  <si>
    <t>Responsable de l’unité maintenance</t>
  </si>
  <si>
    <t>N016820</t>
  </si>
  <si>
    <t>GRENET</t>
  </si>
  <si>
    <t>Eric</t>
  </si>
  <si>
    <t>Surveillant.es de travaux</t>
  </si>
  <si>
    <t>C004587</t>
  </si>
  <si>
    <t>Jean-Baptiste</t>
  </si>
  <si>
    <t>N02645</t>
  </si>
  <si>
    <t>MERCADIEU</t>
  </si>
  <si>
    <t>Baptiste</t>
  </si>
  <si>
    <t>Agent.es de surveillance de l’espace public</t>
  </si>
  <si>
    <t>C004845</t>
  </si>
  <si>
    <t>GARCIA</t>
  </si>
  <si>
    <t>Yoan</t>
  </si>
  <si>
    <t>C005015</t>
  </si>
  <si>
    <t>LARROUDE</t>
  </si>
  <si>
    <t>Christophe</t>
  </si>
  <si>
    <t>N020065</t>
  </si>
  <si>
    <t>SAMITIER</t>
  </si>
  <si>
    <t>Beatrice</t>
  </si>
  <si>
    <t>C005216</t>
  </si>
  <si>
    <t>PIEL</t>
  </si>
  <si>
    <t>Frédy</t>
  </si>
  <si>
    <t>Responsable de l’unité régie</t>
  </si>
  <si>
    <t>C003285</t>
  </si>
  <si>
    <t>FOURCADE</t>
  </si>
  <si>
    <t>Hervé</t>
  </si>
  <si>
    <t>Responsable d’équipe voirie</t>
  </si>
  <si>
    <t>JT030845</t>
  </si>
  <si>
    <t>GONCALVES</t>
  </si>
  <si>
    <t>Lionel</t>
  </si>
  <si>
    <t>N011045</t>
  </si>
  <si>
    <t>SIGALA</t>
  </si>
  <si>
    <t>Jean-Christohpe</t>
  </si>
  <si>
    <t>Responsable d’équipe espaces verts</t>
  </si>
  <si>
    <t>N015967</t>
  </si>
  <si>
    <t>TUCOULET</t>
  </si>
  <si>
    <t>Dorian</t>
  </si>
  <si>
    <t>CENTRE PROPRETÉ</t>
  </si>
  <si>
    <t>Responsable du centre propreté</t>
  </si>
  <si>
    <t>JN020502</t>
  </si>
  <si>
    <t>GOURVIAT</t>
  </si>
  <si>
    <t>Annabelle</t>
  </si>
  <si>
    <t>Assistant.e administratif.ive</t>
  </si>
  <si>
    <t>JT032516</t>
  </si>
  <si>
    <t>LARTIGUE</t>
  </si>
  <si>
    <t>Laura</t>
  </si>
  <si>
    <t>Responsables d’équipe propreté quartier 1</t>
  </si>
  <si>
    <t>JN010897</t>
  </si>
  <si>
    <t>TRIQUENEAUX</t>
  </si>
  <si>
    <t>Benoit</t>
  </si>
  <si>
    <t>JN010381</t>
  </si>
  <si>
    <t>ESPERON</t>
  </si>
  <si>
    <t>Alain</t>
  </si>
  <si>
    <t>Responsables d’équipe propreté quartier 7</t>
  </si>
  <si>
    <t>JN010750</t>
  </si>
  <si>
    <t>ROUGLAN</t>
  </si>
  <si>
    <t>William</t>
  </si>
  <si>
    <t>JN010461</t>
  </si>
  <si>
    <t>NOURRI</t>
  </si>
  <si>
    <t>Danny</t>
  </si>
  <si>
    <t>TOTAL ENCADRANTS REGIE</t>
  </si>
  <si>
    <t>Agent.es de voirie</t>
  </si>
  <si>
    <t>JT028103</t>
  </si>
  <si>
    <t>BERRIO-GAUDNER</t>
  </si>
  <si>
    <t>Jacques</t>
  </si>
  <si>
    <t>C002908</t>
  </si>
  <si>
    <t>FONTENEAU</t>
  </si>
  <si>
    <t>Fabrice</t>
  </si>
  <si>
    <t>OUI</t>
  </si>
  <si>
    <t>C004504</t>
  </si>
  <si>
    <t>Juan-Pédro</t>
  </si>
  <si>
    <t>T028198</t>
  </si>
  <si>
    <t>GOUREAU</t>
  </si>
  <si>
    <t>Jonathan</t>
  </si>
  <si>
    <t>C002986</t>
  </si>
  <si>
    <t>LABORIE</t>
  </si>
  <si>
    <t>Jean-Louis</t>
  </si>
  <si>
    <t>C007317</t>
  </si>
  <si>
    <t>LARRIEU</t>
  </si>
  <si>
    <t>Cédric</t>
  </si>
  <si>
    <t>C004309</t>
  </si>
  <si>
    <t>LEVIGNAT</t>
  </si>
  <si>
    <t>Didier</t>
  </si>
  <si>
    <t>C005624</t>
  </si>
  <si>
    <t>MARTIN-HERNANDEZ</t>
  </si>
  <si>
    <t>Pierre</t>
  </si>
  <si>
    <t>C007758</t>
  </si>
  <si>
    <t>PIERRE</t>
  </si>
  <si>
    <t>Frantzy</t>
  </si>
  <si>
    <t>T029734</t>
  </si>
  <si>
    <t>WEISS</t>
  </si>
  <si>
    <t>Miguel</t>
  </si>
  <si>
    <t>TOTAL AGENTS VOIRIE</t>
  </si>
  <si>
    <t>Jardinier.ères</t>
  </si>
  <si>
    <t>N018514</t>
  </si>
  <si>
    <t>DELANDE</t>
  </si>
  <si>
    <t>Romain</t>
  </si>
  <si>
    <t>T029231</t>
  </si>
  <si>
    <t>DA SILVA REIS</t>
  </si>
  <si>
    <t>Alexandra</t>
  </si>
  <si>
    <t>N011181</t>
  </si>
  <si>
    <t>ELMAGROUD</t>
  </si>
  <si>
    <t>Sofiane</t>
  </si>
  <si>
    <t>C004163</t>
  </si>
  <si>
    <t>ESTEVE</t>
  </si>
  <si>
    <t>Thierry</t>
  </si>
  <si>
    <t>C006428</t>
  </si>
  <si>
    <t>KADRI</t>
  </si>
  <si>
    <t>Houssine</t>
  </si>
  <si>
    <t>N023455</t>
  </si>
  <si>
    <t>MALLET</t>
  </si>
  <si>
    <t>Ludovic</t>
  </si>
  <si>
    <t>C007461</t>
  </si>
  <si>
    <t>MAURY</t>
  </si>
  <si>
    <t>T030790</t>
  </si>
  <si>
    <t>MOINGT</t>
  </si>
  <si>
    <t>Joffrey</t>
  </si>
  <si>
    <t>T030619</t>
  </si>
  <si>
    <t>REY</t>
  </si>
  <si>
    <t>Adrien</t>
  </si>
  <si>
    <t>N019681</t>
  </si>
  <si>
    <t>TADJROUNA</t>
  </si>
  <si>
    <t>Mohamed</t>
  </si>
  <si>
    <t>N019975</t>
  </si>
  <si>
    <t>VILLENEUVE</t>
  </si>
  <si>
    <t>TOTAL AGENTS ESPACES VERTS</t>
  </si>
  <si>
    <t>Magasinier.ère</t>
  </si>
  <si>
    <t>N010342</t>
  </si>
  <si>
    <t>VOL</t>
  </si>
  <si>
    <t>C003865</t>
  </si>
  <si>
    <t>Grégory</t>
  </si>
  <si>
    <t>Agent.es d’entretien</t>
  </si>
  <si>
    <t>N010032</t>
  </si>
  <si>
    <t>BERNARD</t>
  </si>
  <si>
    <t>N010563</t>
  </si>
  <si>
    <t>HAUBRAICHE</t>
  </si>
  <si>
    <t>Philippe</t>
  </si>
  <si>
    <t>PRESENCE</t>
  </si>
  <si>
    <t>ASTREINTE HIVERNALE</t>
  </si>
  <si>
    <t>PREV CONGES</t>
  </si>
  <si>
    <t>FORMATION</t>
  </si>
  <si>
    <t>ASTREINTE</t>
  </si>
  <si>
    <t>CONGES ANNUEL</t>
  </si>
  <si>
    <t>RTT</t>
  </si>
  <si>
    <t>CONGES EXC</t>
  </si>
  <si>
    <t>RESERVE</t>
  </si>
  <si>
    <t>MALADIE</t>
  </si>
  <si>
    <t>ACCIDENT DE TRAVAIL</t>
  </si>
  <si>
    <t>TRAVAI A DISTANCE</t>
  </si>
  <si>
    <t>Tps partiel TH</t>
  </si>
  <si>
    <t>P</t>
  </si>
  <si>
    <t>AH</t>
  </si>
  <si>
    <t>PC</t>
  </si>
  <si>
    <t>F</t>
  </si>
  <si>
    <t>AST</t>
  </si>
  <si>
    <t>CA</t>
  </si>
  <si>
    <t>CEX</t>
  </si>
  <si>
    <t>RES</t>
  </si>
  <si>
    <t>MA</t>
  </si>
  <si>
    <t>AT</t>
  </si>
  <si>
    <t>TAD</t>
  </si>
  <si>
    <t>TP</t>
  </si>
  <si>
    <t>BUREAU</t>
  </si>
  <si>
    <t>VOIRIE</t>
  </si>
  <si>
    <t>ESPACES VERTS</t>
  </si>
  <si>
    <t>MAGASIN</t>
  </si>
  <si>
    <t>GUIJARRO</t>
  </si>
  <si>
    <t>GENNA</t>
  </si>
  <si>
    <t>BOURGOIN</t>
  </si>
  <si>
    <t>X</t>
  </si>
  <si>
    <t>TOTAL AGENTS UNITE REGIE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</si>
</sst>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dd/mm/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rgb="FF000080"/>
      <name val="Arial"/>
      <family val="2"/>
    </font>
    <font>
      <b/>
      <sz val="11"/>
      <color theme="1"/>
      <name val="Arial"/>
      <family val="2"/>
    </font>
    <font>
      <b/>
      <sz val="12"/>
      <color rgb="FF0066CC"/>
      <name val="Arial"/>
      <family val="2"/>
    </font>
    <font>
      <i/>
      <sz val="11"/>
      <color theme="1"/>
      <name val="Arial"/>
      <family val="2"/>
    </font>
    <font>
      <b/>
      <sz val="12"/>
      <color rgb="FFCC0000"/>
      <name val="Arial"/>
      <family val="2"/>
    </font>
    <font>
      <sz val="20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sz val="28"/>
      <color theme="1"/>
      <name val="Arial"/>
      <family val="2"/>
    </font>
    <font>
      <b/>
      <sz val="16"/>
      <color theme="1"/>
      <name val="Arial"/>
      <family val="2"/>
    </font>
    <font>
      <b/>
      <sz val="8"/>
      <color theme="1"/>
      <name val="Arial"/>
      <family val="2"/>
    </font>
    <font>
      <b/>
      <sz val="1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sz val="11"/>
      <name val="Arial"/>
      <family val="2"/>
    </font>
    <font>
      <b/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3300"/>
        <bgColor rgb="FFFF3300"/>
      </patternFill>
    </fill>
    <fill>
      <patternFill patternType="solid">
        <fgColor rgb="FF66CCFF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71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quotePrefix="1" applyFont="1"/>
    <xf numFmtId="0" fontId="4" fillId="0" borderId="1" xfId="0" applyFont="1" applyBorder="1"/>
    <xf numFmtId="0" fontId="1" fillId="0" borderId="27" xfId="0" applyFont="1" applyBorder="1"/>
    <xf numFmtId="0" fontId="1" fillId="0" borderId="2" xfId="0" applyFont="1" applyBorder="1"/>
    <xf numFmtId="0" fontId="1" fillId="0" borderId="3" xfId="0" applyFont="1" applyBorder="1"/>
    <xf numFmtId="14" fontId="1" fillId="0" borderId="7" xfId="0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14" borderId="1" xfId="0" applyFont="1" applyFill="1" applyBorder="1" applyAlignment="1">
      <alignment vertical="center"/>
    </xf>
    <xf numFmtId="0" fontId="1" fillId="14" borderId="2" xfId="0" applyFont="1" applyFill="1" applyBorder="1" applyAlignment="1">
      <alignment horizontal="left" vertical="center"/>
    </xf>
    <xf numFmtId="0" fontId="1" fillId="14" borderId="2" xfId="0" applyFont="1" applyFill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1" fillId="15" borderId="1" xfId="0" applyFont="1" applyFill="1" applyBorder="1" applyAlignment="1">
      <alignment vertical="center"/>
    </xf>
    <xf numFmtId="0" fontId="1" fillId="15" borderId="2" xfId="0" applyFont="1" applyFill="1" applyBorder="1" applyAlignment="1">
      <alignment horizontal="left" vertical="center"/>
    </xf>
    <xf numFmtId="0" fontId="1" fillId="15" borderId="2" xfId="0" applyFont="1" applyFill="1" applyBorder="1" applyAlignment="1">
      <alignment vertical="center"/>
    </xf>
    <xf numFmtId="0" fontId="1" fillId="15" borderId="2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19" xfId="0" applyFont="1" applyBorder="1" applyAlignment="1">
      <alignment vertical="center"/>
    </xf>
    <xf numFmtId="0" fontId="3" fillId="0" borderId="19" xfId="0" applyFont="1" applyBorder="1" applyAlignment="1">
      <alignment horizontal="left" vertical="center"/>
    </xf>
    <xf numFmtId="0" fontId="1" fillId="6" borderId="1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left" vertical="center"/>
    </xf>
    <xf numFmtId="0" fontId="1" fillId="6" borderId="2" xfId="0" applyFont="1" applyFill="1" applyBorder="1" applyAlignment="1">
      <alignment vertical="center"/>
    </xf>
    <xf numFmtId="0" fontId="9" fillId="6" borderId="5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3" fillId="19" borderId="5" xfId="0" applyFont="1" applyFill="1" applyBorder="1" applyAlignment="1">
      <alignment vertical="center"/>
    </xf>
    <xf numFmtId="0" fontId="3" fillId="19" borderId="5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3" fillId="20" borderId="5" xfId="0" applyFont="1" applyFill="1" applyBorder="1" applyAlignment="1">
      <alignment vertical="center"/>
    </xf>
    <xf numFmtId="0" fontId="3" fillId="20" borderId="5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14" fontId="1" fillId="0" borderId="0" xfId="0" applyNumberFormat="1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 textRotation="90"/>
    </xf>
    <xf numFmtId="14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4" fontId="11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0" fontId="3" fillId="0" borderId="13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1" fillId="0" borderId="16" xfId="0" applyFont="1" applyBorder="1"/>
    <xf numFmtId="0" fontId="3" fillId="0" borderId="6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3" fillId="9" borderId="22" xfId="0" applyFont="1" applyFill="1" applyBorder="1" applyAlignment="1">
      <alignment horizontal="center" vertical="center"/>
    </xf>
    <xf numFmtId="0" fontId="8" fillId="10" borderId="22" xfId="0" applyFont="1" applyFill="1" applyBorder="1" applyAlignment="1">
      <alignment horizontal="center" vertical="center"/>
    </xf>
    <xf numFmtId="0" fontId="8" fillId="11" borderId="22" xfId="0" applyFont="1" applyFill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3" fillId="12" borderId="23" xfId="0" applyFont="1" applyFill="1" applyBorder="1" applyAlignment="1">
      <alignment horizontal="center" vertical="center"/>
    </xf>
    <xf numFmtId="0" fontId="1" fillId="0" borderId="24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4" fillId="2" borderId="5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1" borderId="5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4" fillId="12" borderId="5" xfId="0" applyFont="1" applyFill="1" applyBorder="1" applyAlignment="1">
      <alignment horizontal="center" vertical="center"/>
    </xf>
    <xf numFmtId="0" fontId="1" fillId="0" borderId="5" xfId="0" quotePrefix="1" applyFont="1" applyBorder="1"/>
    <xf numFmtId="165" fontId="1" fillId="15" borderId="2" xfId="0" applyNumberFormat="1" applyFont="1" applyFill="1" applyBorder="1" applyAlignment="1">
      <alignment horizontal="center" vertical="center"/>
    </xf>
    <xf numFmtId="165" fontId="1" fillId="15" borderId="3" xfId="0" applyNumberFormat="1" applyFont="1" applyFill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6" borderId="2" xfId="0" applyNumberFormat="1" applyFont="1" applyFill="1" applyBorder="1" applyAlignment="1">
      <alignment horizontal="center" vertical="center"/>
    </xf>
    <xf numFmtId="165" fontId="1" fillId="19" borderId="5" xfId="0" applyNumberFormat="1" applyFont="1" applyFill="1" applyBorder="1" applyAlignment="1">
      <alignment horizontal="center" vertical="center"/>
    </xf>
    <xf numFmtId="165" fontId="1" fillId="20" borderId="5" xfId="0" applyNumberFormat="1" applyFont="1" applyFill="1" applyBorder="1" applyAlignment="1">
      <alignment horizontal="center" vertical="center"/>
    </xf>
    <xf numFmtId="165" fontId="1" fillId="4" borderId="2" xfId="0" applyNumberFormat="1" applyFont="1" applyFill="1" applyBorder="1" applyAlignment="1">
      <alignment horizontal="center" vertical="center"/>
    </xf>
    <xf numFmtId="165" fontId="1" fillId="4" borderId="3" xfId="0" applyNumberFormat="1" applyFont="1" applyFill="1" applyBorder="1" applyAlignment="1">
      <alignment horizontal="center" vertical="center"/>
    </xf>
    <xf numFmtId="165" fontId="1" fillId="0" borderId="7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0" fontId="1" fillId="21" borderId="13" xfId="0" applyFont="1" applyFill="1" applyBorder="1" applyAlignment="1">
      <alignment vertical="center"/>
    </xf>
    <xf numFmtId="0" fontId="1" fillId="21" borderId="17" xfId="0" applyFont="1" applyFill="1" applyBorder="1" applyAlignment="1">
      <alignment horizontal="left" vertical="center"/>
    </xf>
    <xf numFmtId="0" fontId="1" fillId="21" borderId="17" xfId="0" applyFont="1" applyFill="1" applyBorder="1" applyAlignment="1">
      <alignment vertical="center"/>
    </xf>
    <xf numFmtId="0" fontId="1" fillId="21" borderId="17" xfId="0" applyFont="1" applyFill="1" applyBorder="1" applyAlignment="1">
      <alignment horizontal="center" vertical="center"/>
    </xf>
    <xf numFmtId="0" fontId="1" fillId="21" borderId="12" xfId="0" applyFont="1" applyFill="1" applyBorder="1" applyAlignment="1">
      <alignment vertical="center"/>
    </xf>
    <xf numFmtId="0" fontId="1" fillId="21" borderId="14" xfId="0" applyFont="1" applyFill="1" applyBorder="1" applyAlignment="1">
      <alignment horizontal="left" vertical="center"/>
    </xf>
    <xf numFmtId="0" fontId="1" fillId="21" borderId="14" xfId="0" applyFont="1" applyFill="1" applyBorder="1" applyAlignment="1">
      <alignment vertical="center"/>
    </xf>
    <xf numFmtId="0" fontId="1" fillId="21" borderId="14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vertical="center"/>
    </xf>
    <xf numFmtId="0" fontId="1" fillId="21" borderId="2" xfId="0" applyFont="1" applyFill="1" applyBorder="1" applyAlignment="1">
      <alignment horizontal="left" vertical="center"/>
    </xf>
    <xf numFmtId="0" fontId="1" fillId="21" borderId="2" xfId="0" applyFont="1" applyFill="1" applyBorder="1" applyAlignment="1">
      <alignment vertical="center"/>
    </xf>
    <xf numFmtId="0" fontId="1" fillId="21" borderId="2" xfId="0" applyFont="1" applyFill="1" applyBorder="1" applyAlignment="1">
      <alignment horizontal="center" vertical="center"/>
    </xf>
    <xf numFmtId="0" fontId="1" fillId="22" borderId="2" xfId="0" applyFont="1" applyFill="1" applyBorder="1" applyAlignment="1">
      <alignment horizontal="left" vertical="center"/>
    </xf>
    <xf numFmtId="0" fontId="1" fillId="22" borderId="2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vertical="center"/>
    </xf>
    <xf numFmtId="0" fontId="1" fillId="23" borderId="2" xfId="0" applyFont="1" applyFill="1" applyBorder="1" applyAlignment="1">
      <alignment horizontal="left" vertical="center"/>
    </xf>
    <xf numFmtId="0" fontId="1" fillId="23" borderId="2" xfId="0" applyFont="1" applyFill="1" applyBorder="1" applyAlignment="1">
      <alignment vertical="center"/>
    </xf>
    <xf numFmtId="0" fontId="1" fillId="23" borderId="2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vertical="center"/>
    </xf>
    <xf numFmtId="0" fontId="1" fillId="8" borderId="14" xfId="0" applyFont="1" applyFill="1" applyBorder="1" applyAlignment="1">
      <alignment horizontal="left" vertical="center"/>
    </xf>
    <xf numFmtId="0" fontId="1" fillId="8" borderId="14" xfId="0" applyFont="1" applyFill="1" applyBorder="1" applyAlignment="1">
      <alignment vertical="center"/>
    </xf>
    <xf numFmtId="165" fontId="9" fillId="6" borderId="2" xfId="0" applyNumberFormat="1" applyFont="1" applyFill="1" applyBorder="1" applyAlignment="1">
      <alignment horizontal="center" vertical="center"/>
    </xf>
    <xf numFmtId="165" fontId="9" fillId="6" borderId="3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vertical="center"/>
    </xf>
    <xf numFmtId="0" fontId="1" fillId="3" borderId="14" xfId="0" applyFont="1" applyFill="1" applyBorder="1" applyAlignment="1">
      <alignment horizontal="left" vertical="center"/>
    </xf>
    <xf numFmtId="0" fontId="1" fillId="3" borderId="14" xfId="0" applyFont="1" applyFill="1" applyBorder="1" applyAlignment="1">
      <alignment vertical="center"/>
    </xf>
    <xf numFmtId="0" fontId="3" fillId="20" borderId="4" xfId="0" applyFont="1" applyFill="1" applyBorder="1" applyAlignment="1">
      <alignment vertical="center"/>
    </xf>
    <xf numFmtId="0" fontId="3" fillId="20" borderId="4" xfId="0" applyFont="1" applyFill="1" applyBorder="1" applyAlignment="1">
      <alignment horizontal="left" vertical="center"/>
    </xf>
    <xf numFmtId="165" fontId="1" fillId="20" borderId="4" xfId="0" applyNumberFormat="1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vertical="center"/>
    </xf>
    <xf numFmtId="165" fontId="1" fillId="6" borderId="17" xfId="0" applyNumberFormat="1" applyFont="1" applyFill="1" applyBorder="1" applyAlignment="1">
      <alignment horizontal="center" vertical="center"/>
    </xf>
    <xf numFmtId="165" fontId="9" fillId="6" borderId="17" xfId="0" applyNumberFormat="1" applyFont="1" applyFill="1" applyBorder="1" applyAlignment="1">
      <alignment horizontal="center" vertical="center"/>
    </xf>
    <xf numFmtId="165" fontId="9" fillId="6" borderId="16" xfId="0" applyNumberFormat="1" applyFont="1" applyFill="1" applyBorder="1" applyAlignment="1">
      <alignment horizontal="center" vertical="center"/>
    </xf>
    <xf numFmtId="0" fontId="1" fillId="13" borderId="12" xfId="0" applyFont="1" applyFill="1" applyBorder="1" applyAlignment="1">
      <alignment horizontal="center" vertical="center"/>
    </xf>
    <xf numFmtId="0" fontId="1" fillId="13" borderId="14" xfId="0" applyFont="1" applyFill="1" applyBorder="1" applyAlignment="1">
      <alignment horizontal="left" vertical="center"/>
    </xf>
    <xf numFmtId="0" fontId="1" fillId="13" borderId="14" xfId="0" applyFont="1" applyFill="1" applyBorder="1" applyAlignment="1">
      <alignment horizontal="center" vertical="center"/>
    </xf>
    <xf numFmtId="165" fontId="1" fillId="13" borderId="14" xfId="0" applyNumberFormat="1" applyFont="1" applyFill="1" applyBorder="1" applyAlignment="1">
      <alignment horizontal="center" vertical="center"/>
    </xf>
    <xf numFmtId="165" fontId="1" fillId="13" borderId="11" xfId="0" applyNumberFormat="1" applyFont="1" applyFill="1" applyBorder="1" applyAlignment="1">
      <alignment horizontal="center" vertical="center"/>
    </xf>
    <xf numFmtId="165" fontId="1" fillId="22" borderId="3" xfId="0" applyNumberFormat="1" applyFont="1" applyFill="1" applyBorder="1" applyAlignment="1">
      <alignment horizontal="center" vertical="center"/>
    </xf>
    <xf numFmtId="0" fontId="1" fillId="21" borderId="3" xfId="0" applyFont="1" applyFill="1" applyBorder="1" applyAlignment="1">
      <alignment vertical="center"/>
    </xf>
    <xf numFmtId="0" fontId="1" fillId="21" borderId="11" xfId="0" applyFont="1" applyFill="1" applyBorder="1" applyAlignment="1">
      <alignment vertical="center"/>
    </xf>
    <xf numFmtId="0" fontId="1" fillId="21" borderId="16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164" fontId="3" fillId="0" borderId="1" xfId="0" applyNumberFormat="1" applyFont="1" applyBorder="1" applyAlignment="1">
      <alignment horizontal="center" vertical="center"/>
    </xf>
    <xf numFmtId="0" fontId="17" fillId="0" borderId="0" xfId="0" applyFont="1"/>
    <xf numFmtId="0" fontId="17" fillId="14" borderId="2" xfId="0" applyFont="1" applyFill="1" applyBorder="1" applyAlignment="1">
      <alignment horizontal="center" vertical="center"/>
    </xf>
    <xf numFmtId="0" fontId="17" fillId="14" borderId="3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14" fillId="3" borderId="19" xfId="0" applyFont="1" applyFill="1" applyBorder="1" applyAlignment="1">
      <alignment horizontal="center" vertical="center"/>
    </xf>
    <xf numFmtId="0" fontId="14" fillId="4" borderId="19" xfId="0" applyFont="1" applyFill="1" applyBorder="1" applyAlignment="1">
      <alignment horizontal="center" vertical="center"/>
    </xf>
    <xf numFmtId="0" fontId="14" fillId="5" borderId="19" xfId="0" applyFont="1" applyFill="1" applyBorder="1" applyAlignment="1">
      <alignment horizontal="center" vertical="center"/>
    </xf>
    <xf numFmtId="0" fontId="14" fillId="6" borderId="19" xfId="0" applyFont="1" applyFill="1" applyBorder="1" applyAlignment="1">
      <alignment horizontal="center" vertical="center"/>
    </xf>
    <xf numFmtId="0" fontId="14" fillId="7" borderId="19" xfId="0" applyFont="1" applyFill="1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/>
    </xf>
    <xf numFmtId="0" fontId="14" fillId="9" borderId="19" xfId="0" applyFont="1" applyFill="1" applyBorder="1" applyAlignment="1">
      <alignment horizontal="center" vertical="center"/>
    </xf>
    <xf numFmtId="0" fontId="15" fillId="10" borderId="19" xfId="0" applyFont="1" applyFill="1" applyBorder="1" applyAlignment="1">
      <alignment horizontal="center" vertical="center"/>
    </xf>
    <xf numFmtId="0" fontId="15" fillId="11" borderId="19" xfId="0" applyFont="1" applyFill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4" fillId="12" borderId="19" xfId="0" applyFont="1" applyFill="1" applyBorder="1" applyAlignment="1">
      <alignment horizontal="center" vertical="center"/>
    </xf>
    <xf numFmtId="0" fontId="17" fillId="15" borderId="2" xfId="0" applyFont="1" applyFill="1" applyBorder="1" applyAlignment="1">
      <alignment horizontal="center" vertical="center"/>
    </xf>
    <xf numFmtId="0" fontId="17" fillId="15" borderId="3" xfId="0" applyFont="1" applyFill="1" applyBorder="1" applyAlignment="1">
      <alignment horizontal="center" vertical="center"/>
    </xf>
    <xf numFmtId="0" fontId="17" fillId="21" borderId="17" xfId="0" applyFont="1" applyFill="1" applyBorder="1" applyAlignment="1">
      <alignment horizontal="center" vertical="center"/>
    </xf>
    <xf numFmtId="0" fontId="17" fillId="21" borderId="16" xfId="0" applyFont="1" applyFill="1" applyBorder="1" applyAlignment="1">
      <alignment horizontal="left" vertical="center"/>
    </xf>
    <xf numFmtId="0" fontId="17" fillId="21" borderId="14" xfId="0" applyFont="1" applyFill="1" applyBorder="1" applyAlignment="1">
      <alignment horizontal="center" vertical="center"/>
    </xf>
    <xf numFmtId="0" fontId="17" fillId="21" borderId="11" xfId="0" applyFont="1" applyFill="1" applyBorder="1" applyAlignment="1">
      <alignment horizontal="center" vertical="center"/>
    </xf>
    <xf numFmtId="0" fontId="17" fillId="21" borderId="2" xfId="0" applyFont="1" applyFill="1" applyBorder="1" applyAlignment="1">
      <alignment horizontal="center" vertical="center"/>
    </xf>
    <xf numFmtId="0" fontId="17" fillId="21" borderId="3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4" borderId="7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7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17" fillId="22" borderId="2" xfId="0" applyFont="1" applyFill="1" applyBorder="1" applyAlignment="1">
      <alignment horizontal="center" vertical="center"/>
    </xf>
    <xf numFmtId="0" fontId="17" fillId="22" borderId="3" xfId="0" applyFont="1" applyFill="1" applyBorder="1" applyAlignment="1">
      <alignment horizontal="center" vertical="center"/>
    </xf>
    <xf numFmtId="0" fontId="17" fillId="23" borderId="2" xfId="0" applyFont="1" applyFill="1" applyBorder="1" applyAlignment="1">
      <alignment horizontal="center" vertical="center"/>
    </xf>
    <xf numFmtId="0" fontId="17" fillId="23" borderId="3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7" fillId="13" borderId="2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3" fillId="21" borderId="12" xfId="0" applyFont="1" applyFill="1" applyBorder="1" applyAlignment="1">
      <alignment vertical="center"/>
    </xf>
    <xf numFmtId="0" fontId="3" fillId="21" borderId="14" xfId="0" applyFont="1" applyFill="1" applyBorder="1" applyAlignment="1">
      <alignment vertical="center"/>
    </xf>
    <xf numFmtId="0" fontId="3" fillId="21" borderId="1" xfId="0" applyFont="1" applyFill="1" applyBorder="1" applyAlignment="1">
      <alignment vertical="center"/>
    </xf>
    <xf numFmtId="0" fontId="3" fillId="21" borderId="2" xfId="0" applyFont="1" applyFill="1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1" fillId="24" borderId="13" xfId="0" applyFont="1" applyFill="1" applyBorder="1" applyAlignment="1">
      <alignment vertical="center"/>
    </xf>
    <xf numFmtId="0" fontId="1" fillId="24" borderId="17" xfId="0" applyFont="1" applyFill="1" applyBorder="1" applyAlignment="1">
      <alignment horizontal="left" vertical="center"/>
    </xf>
    <xf numFmtId="0" fontId="1" fillId="24" borderId="17" xfId="0" applyFont="1" applyFill="1" applyBorder="1" applyAlignment="1">
      <alignment vertical="center"/>
    </xf>
    <xf numFmtId="0" fontId="1" fillId="24" borderId="17" xfId="0" applyFont="1" applyFill="1" applyBorder="1" applyAlignment="1">
      <alignment horizontal="center" vertical="center"/>
    </xf>
    <xf numFmtId="0" fontId="17" fillId="24" borderId="17" xfId="0" applyFont="1" applyFill="1" applyBorder="1" applyAlignment="1">
      <alignment horizontal="center" vertical="center"/>
    </xf>
    <xf numFmtId="0" fontId="17" fillId="24" borderId="16" xfId="0" applyFont="1" applyFill="1" applyBorder="1" applyAlignment="1">
      <alignment horizontal="left" vertical="center"/>
    </xf>
    <xf numFmtId="0" fontId="1" fillId="24" borderId="12" xfId="0" applyFont="1" applyFill="1" applyBorder="1" applyAlignment="1">
      <alignment vertical="center"/>
    </xf>
    <xf numFmtId="0" fontId="1" fillId="24" borderId="14" xfId="0" applyFont="1" applyFill="1" applyBorder="1" applyAlignment="1">
      <alignment horizontal="left" vertical="center"/>
    </xf>
    <xf numFmtId="0" fontId="1" fillId="24" borderId="14" xfId="0" applyFont="1" applyFill="1" applyBorder="1" applyAlignment="1">
      <alignment vertical="center"/>
    </xf>
    <xf numFmtId="0" fontId="1" fillId="24" borderId="14" xfId="0" applyFont="1" applyFill="1" applyBorder="1" applyAlignment="1">
      <alignment horizontal="center" vertical="center"/>
    </xf>
    <xf numFmtId="0" fontId="17" fillId="24" borderId="14" xfId="0" applyFont="1" applyFill="1" applyBorder="1" applyAlignment="1">
      <alignment horizontal="center" vertical="center"/>
    </xf>
    <xf numFmtId="0" fontId="17" fillId="24" borderId="1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vertical="center"/>
    </xf>
    <xf numFmtId="0" fontId="1" fillId="24" borderId="2" xfId="0" applyFont="1" applyFill="1" applyBorder="1" applyAlignment="1">
      <alignment horizontal="left" vertical="center"/>
    </xf>
    <xf numFmtId="0" fontId="1" fillId="24" borderId="2" xfId="0" applyFont="1" applyFill="1" applyBorder="1" applyAlignment="1">
      <alignment vertical="center"/>
    </xf>
    <xf numFmtId="0" fontId="1" fillId="24" borderId="2" xfId="0" applyFont="1" applyFill="1" applyBorder="1" applyAlignment="1">
      <alignment horizontal="center" vertical="center"/>
    </xf>
    <xf numFmtId="0" fontId="17" fillId="24" borderId="2" xfId="0" applyFont="1" applyFill="1" applyBorder="1" applyAlignment="1">
      <alignment horizontal="center" vertical="center"/>
    </xf>
    <xf numFmtId="0" fontId="17" fillId="24" borderId="3" xfId="0" applyFont="1" applyFill="1" applyBorder="1" applyAlignment="1">
      <alignment horizontal="center" vertical="center"/>
    </xf>
    <xf numFmtId="0" fontId="1" fillId="24" borderId="16" xfId="0" applyFont="1" applyFill="1" applyBorder="1" applyAlignment="1">
      <alignment vertical="center"/>
    </xf>
    <xf numFmtId="0" fontId="1" fillId="24" borderId="11" xfId="0" applyFont="1" applyFill="1" applyBorder="1" applyAlignment="1">
      <alignment vertical="center"/>
    </xf>
    <xf numFmtId="0" fontId="1" fillId="24" borderId="3" xfId="0" applyFont="1" applyFill="1" applyBorder="1" applyAlignment="1">
      <alignment vertical="center"/>
    </xf>
    <xf numFmtId="0" fontId="18" fillId="0" borderId="28" xfId="0" applyFont="1" applyBorder="1" applyAlignment="1">
      <alignment horizontal="center" vertical="center"/>
    </xf>
    <xf numFmtId="0" fontId="8" fillId="18" borderId="29" xfId="0" applyFont="1" applyFill="1" applyBorder="1" applyAlignment="1">
      <alignment horizontal="center" vertical="center" wrapText="1"/>
    </xf>
    <xf numFmtId="0" fontId="3" fillId="11" borderId="16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 wrapText="1"/>
    </xf>
    <xf numFmtId="0" fontId="3" fillId="9" borderId="4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17" borderId="4" xfId="0" applyFont="1" applyFill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/>
    </xf>
    <xf numFmtId="165" fontId="1" fillId="14" borderId="2" xfId="0" applyNumberFormat="1" applyFont="1" applyFill="1" applyBorder="1" applyAlignment="1">
      <alignment horizontal="center" vertical="center"/>
    </xf>
    <xf numFmtId="0" fontId="18" fillId="25" borderId="2" xfId="0" applyFont="1" applyFill="1" applyBorder="1" applyAlignment="1">
      <alignment horizontal="left" vertical="center"/>
    </xf>
    <xf numFmtId="0" fontId="18" fillId="25" borderId="3" xfId="0" applyFont="1" applyFill="1" applyBorder="1" applyAlignment="1">
      <alignment horizontal="left" vertical="center"/>
    </xf>
    <xf numFmtId="0" fontId="3" fillId="26" borderId="4" xfId="0" applyFont="1" applyFill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165" fontId="1" fillId="22" borderId="2" xfId="0" applyNumberFormat="1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vertical="center"/>
    </xf>
    <xf numFmtId="0" fontId="3" fillId="19" borderId="7" xfId="0" applyFont="1" applyFill="1" applyBorder="1" applyAlignment="1">
      <alignment horizontal="left" vertical="center"/>
    </xf>
    <xf numFmtId="165" fontId="1" fillId="19" borderId="7" xfId="0" applyNumberFormat="1" applyFont="1" applyFill="1" applyBorder="1" applyAlignment="1">
      <alignment horizontal="center" vertical="center"/>
    </xf>
    <xf numFmtId="0" fontId="3" fillId="20" borderId="7" xfId="0" applyFont="1" applyFill="1" applyBorder="1" applyAlignment="1">
      <alignment vertical="center"/>
    </xf>
    <xf numFmtId="0" fontId="3" fillId="20" borderId="7" xfId="0" applyFont="1" applyFill="1" applyBorder="1" applyAlignment="1">
      <alignment horizontal="left" vertical="center"/>
    </xf>
    <xf numFmtId="165" fontId="1" fillId="20" borderId="7" xfId="0" applyNumberFormat="1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3" borderId="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vertical="center"/>
    </xf>
    <xf numFmtId="165" fontId="1" fillId="3" borderId="2" xfId="0" applyNumberFormat="1" applyFont="1" applyFill="1" applyBorder="1" applyAlignment="1">
      <alignment horizontal="center" vertical="center"/>
    </xf>
    <xf numFmtId="165" fontId="1" fillId="3" borderId="3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horizontal="left" vertical="center"/>
    </xf>
    <xf numFmtId="0" fontId="1" fillId="8" borderId="2" xfId="0" applyFont="1" applyFill="1" applyBorder="1" applyAlignment="1">
      <alignment vertical="center"/>
    </xf>
    <xf numFmtId="165" fontId="1" fillId="8" borderId="2" xfId="0" applyNumberFormat="1" applyFont="1" applyFill="1" applyBorder="1" applyAlignment="1">
      <alignment horizontal="center" vertical="center"/>
    </xf>
    <xf numFmtId="165" fontId="1" fillId="8" borderId="3" xfId="0" applyNumberFormat="1" applyFont="1" applyFill="1" applyBorder="1" applyAlignment="1">
      <alignment horizontal="center" vertical="center"/>
    </xf>
    <xf numFmtId="0" fontId="0" fillId="26" borderId="0" xfId="0" applyFill="1"/>
    <xf numFmtId="0" fontId="3" fillId="2" borderId="33" xfId="0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3" fillId="7" borderId="34" xfId="0" applyFont="1" applyFill="1" applyBorder="1" applyAlignment="1">
      <alignment horizontal="center" vertical="center"/>
    </xf>
    <xf numFmtId="0" fontId="3" fillId="8" borderId="34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8" fillId="10" borderId="34" xfId="0" applyFont="1" applyFill="1" applyBorder="1" applyAlignment="1">
      <alignment horizontal="center" vertical="center"/>
    </xf>
    <xf numFmtId="0" fontId="8" fillId="11" borderId="34" xfId="0" applyFont="1" applyFill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3" fillId="12" borderId="35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17" fontId="1" fillId="14" borderId="2" xfId="0" applyNumberFormat="1" applyFont="1" applyFill="1" applyBorder="1" applyAlignment="1">
      <alignment horizontal="center" vertical="center"/>
    </xf>
    <xf numFmtId="17" fontId="1" fillId="0" borderId="19" xfId="0" applyNumberFormat="1" applyFont="1" applyBorder="1" applyAlignment="1">
      <alignment horizontal="center" vertical="center"/>
    </xf>
    <xf numFmtId="17" fontId="1" fillId="15" borderId="2" xfId="0" applyNumberFormat="1" applyFont="1" applyFill="1" applyBorder="1" applyAlignment="1">
      <alignment horizontal="center" vertical="center"/>
    </xf>
    <xf numFmtId="17" fontId="1" fillId="24" borderId="17" xfId="0" applyNumberFormat="1" applyFont="1" applyFill="1" applyBorder="1" applyAlignment="1">
      <alignment vertical="center"/>
    </xf>
    <xf numFmtId="17" fontId="1" fillId="24" borderId="14" xfId="0" applyNumberFormat="1" applyFont="1" applyFill="1" applyBorder="1" applyAlignment="1">
      <alignment vertical="center"/>
    </xf>
    <xf numFmtId="17" fontId="1" fillId="24" borderId="2" xfId="0" applyNumberFormat="1" applyFont="1" applyFill="1" applyBorder="1" applyAlignment="1">
      <alignment vertical="center"/>
    </xf>
    <xf numFmtId="17" fontId="1" fillId="22" borderId="2" xfId="0" applyNumberFormat="1" applyFont="1" applyFill="1" applyBorder="1" applyAlignment="1">
      <alignment horizontal="center" vertical="center"/>
    </xf>
    <xf numFmtId="17" fontId="1" fillId="0" borderId="7" xfId="0" applyNumberFormat="1" applyFont="1" applyBorder="1" applyAlignment="1">
      <alignment horizontal="center" vertical="center"/>
    </xf>
    <xf numFmtId="17" fontId="1" fillId="0" borderId="5" xfId="0" applyNumberFormat="1" applyFont="1" applyBorder="1" applyAlignment="1">
      <alignment horizontal="center" vertical="center"/>
    </xf>
    <xf numFmtId="17" fontId="1" fillId="0" borderId="4" xfId="0" applyNumberFormat="1" applyFont="1" applyBorder="1" applyAlignment="1">
      <alignment horizontal="center" vertical="center"/>
    </xf>
    <xf numFmtId="17" fontId="1" fillId="23" borderId="2" xfId="0" applyNumberFormat="1" applyFont="1" applyFill="1" applyBorder="1" applyAlignment="1">
      <alignment vertical="center"/>
    </xf>
    <xf numFmtId="17" fontId="1" fillId="21" borderId="17" xfId="0" applyNumberFormat="1" applyFont="1" applyFill="1" applyBorder="1" applyAlignment="1">
      <alignment vertical="center"/>
    </xf>
    <xf numFmtId="17" fontId="1" fillId="21" borderId="14" xfId="0" applyNumberFormat="1" applyFont="1" applyFill="1" applyBorder="1" applyAlignment="1">
      <alignment vertical="center"/>
    </xf>
    <xf numFmtId="17" fontId="1" fillId="21" borderId="2" xfId="0" applyNumberFormat="1" applyFont="1" applyFill="1" applyBorder="1" applyAlignment="1">
      <alignment vertical="center"/>
    </xf>
    <xf numFmtId="17" fontId="1" fillId="6" borderId="17" xfId="0" applyNumberFormat="1" applyFont="1" applyFill="1" applyBorder="1" applyAlignment="1">
      <alignment horizontal="center" vertical="center"/>
    </xf>
    <xf numFmtId="17" fontId="1" fillId="8" borderId="2" xfId="0" applyNumberFormat="1" applyFont="1" applyFill="1" applyBorder="1" applyAlignment="1">
      <alignment horizontal="center" vertical="center"/>
    </xf>
    <xf numFmtId="17" fontId="1" fillId="19" borderId="7" xfId="0" applyNumberFormat="1" applyFont="1" applyFill="1" applyBorder="1" applyAlignment="1">
      <alignment horizontal="center" vertical="center"/>
    </xf>
    <xf numFmtId="17" fontId="1" fillId="19" borderId="5" xfId="0" applyNumberFormat="1" applyFont="1" applyFill="1" applyBorder="1" applyAlignment="1">
      <alignment horizontal="center" vertical="center"/>
    </xf>
    <xf numFmtId="17" fontId="1" fillId="3" borderId="2" xfId="0" applyNumberFormat="1" applyFont="1" applyFill="1" applyBorder="1" applyAlignment="1">
      <alignment horizontal="center" vertical="center"/>
    </xf>
    <xf numFmtId="17" fontId="1" fillId="20" borderId="7" xfId="0" applyNumberFormat="1" applyFont="1" applyFill="1" applyBorder="1" applyAlignment="1">
      <alignment horizontal="center" vertical="center"/>
    </xf>
    <xf numFmtId="17" fontId="1" fillId="20" borderId="5" xfId="0" applyNumberFormat="1" applyFont="1" applyFill="1" applyBorder="1" applyAlignment="1">
      <alignment horizontal="center" vertical="center"/>
    </xf>
    <xf numFmtId="17" fontId="1" fillId="20" borderId="4" xfId="0" applyNumberFormat="1" applyFont="1" applyFill="1" applyBorder="1" applyAlignment="1">
      <alignment horizontal="center" vertical="center"/>
    </xf>
    <xf numFmtId="17" fontId="1" fillId="6" borderId="2" xfId="0" applyNumberFormat="1" applyFont="1" applyFill="1" applyBorder="1" applyAlignment="1">
      <alignment horizontal="center" vertical="center"/>
    </xf>
    <xf numFmtId="17" fontId="1" fillId="13" borderId="14" xfId="0" applyNumberFormat="1" applyFont="1" applyFill="1" applyBorder="1" applyAlignment="1">
      <alignment horizontal="center" vertical="center"/>
    </xf>
    <xf numFmtId="17" fontId="1" fillId="4" borderId="2" xfId="0" applyNumberFormat="1" applyFont="1" applyFill="1" applyBorder="1" applyAlignment="1">
      <alignment horizontal="center" vertical="center"/>
    </xf>
    <xf numFmtId="17" fontId="1" fillId="6" borderId="0" xfId="0" applyNumberFormat="1" applyFont="1" applyFill="1" applyAlignment="1">
      <alignment horizontal="center" vertical="center"/>
    </xf>
    <xf numFmtId="17" fontId="1" fillId="4" borderId="14" xfId="0" applyNumberFormat="1" applyFont="1" applyFill="1" applyBorder="1" applyAlignment="1">
      <alignment horizontal="center" vertical="center"/>
    </xf>
    <xf numFmtId="17" fontId="1" fillId="0" borderId="0" xfId="0" applyNumberFormat="1" applyFont="1" applyAlignment="1">
      <alignment horizontal="center" vertical="center"/>
    </xf>
    <xf numFmtId="17" fontId="9" fillId="6" borderId="17" xfId="0" applyNumberFormat="1" applyFont="1" applyFill="1" applyBorder="1" applyAlignment="1">
      <alignment horizontal="center" vertical="center"/>
    </xf>
    <xf numFmtId="17" fontId="9" fillId="6" borderId="2" xfId="0" applyNumberFormat="1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textRotation="90" wrapText="1"/>
    </xf>
    <xf numFmtId="0" fontId="0" fillId="0" borderId="19" xfId="0" applyBorder="1"/>
    <xf numFmtId="0" fontId="0" fillId="0" borderId="7" xfId="0" applyBorder="1"/>
    <xf numFmtId="0" fontId="10" fillId="0" borderId="0" xfId="0" applyFont="1" applyAlignment="1">
      <alignment horizontal="center" vertical="center" wrapText="1"/>
    </xf>
    <xf numFmtId="0" fontId="1" fillId="0" borderId="0" xfId="0" applyFont="1" applyAlignment="1">
      <alignment wrapText="1"/>
    </xf>
    <xf numFmtId="0" fontId="14" fillId="9" borderId="5" xfId="0" applyFont="1" applyFill="1" applyBorder="1" applyAlignment="1">
      <alignment horizontal="center" textRotation="90" wrapText="1"/>
    </xf>
    <xf numFmtId="0" fontId="14" fillId="12" borderId="5" xfId="0" applyFont="1" applyFill="1" applyBorder="1" applyAlignment="1">
      <alignment horizontal="center" textRotation="90" wrapText="1"/>
    </xf>
    <xf numFmtId="0" fontId="14" fillId="3" borderId="5" xfId="0" applyFont="1" applyFill="1" applyBorder="1" applyAlignment="1">
      <alignment horizontal="center" textRotation="90" wrapText="1"/>
    </xf>
    <xf numFmtId="0" fontId="14" fillId="2" borderId="5" xfId="0" applyFont="1" applyFill="1" applyBorder="1" applyAlignment="1">
      <alignment horizontal="center" textRotation="90" wrapText="1"/>
    </xf>
    <xf numFmtId="0" fontId="14" fillId="4" borderId="5" xfId="0" applyFont="1" applyFill="1" applyBorder="1" applyAlignment="1">
      <alignment horizontal="center" textRotation="90" wrapText="1"/>
    </xf>
    <xf numFmtId="0" fontId="14" fillId="5" borderId="5" xfId="0" applyFont="1" applyFill="1" applyBorder="1" applyAlignment="1">
      <alignment horizontal="center" textRotation="90" wrapText="1"/>
    </xf>
    <xf numFmtId="0" fontId="14" fillId="8" borderId="5" xfId="0" applyFont="1" applyFill="1" applyBorder="1" applyAlignment="1">
      <alignment horizontal="center" textRotation="90" wrapText="1"/>
    </xf>
    <xf numFmtId="0" fontId="14" fillId="7" borderId="5" xfId="0" applyFont="1" applyFill="1" applyBorder="1" applyAlignment="1">
      <alignment horizontal="center" textRotation="90" wrapText="1"/>
    </xf>
    <xf numFmtId="0" fontId="14" fillId="11" borderId="5" xfId="0" applyFont="1" applyFill="1" applyBorder="1" applyAlignment="1">
      <alignment horizontal="center" textRotation="90" wrapText="1"/>
    </xf>
    <xf numFmtId="0" fontId="14" fillId="0" borderId="5" xfId="0" applyFont="1" applyBorder="1" applyAlignment="1">
      <alignment horizontal="center" textRotation="90" wrapText="1"/>
    </xf>
    <xf numFmtId="0" fontId="14" fillId="6" borderId="5" xfId="0" applyFont="1" applyFill="1" applyBorder="1" applyAlignment="1">
      <alignment horizontal="center" textRotation="90" wrapText="1"/>
    </xf>
  </cellXfs>
  <cellStyles count="1">
    <cellStyle name="Normal" xfId="0" builtinId="0"/>
  </cellStyles>
  <dxfs count="309"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00"/>
      <color rgb="FFFF66CC"/>
      <color rgb="FFFF00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23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24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25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Ex26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27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28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Ex29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30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31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3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33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Ex34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Ex35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Ex36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Ex37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38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Ex39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Ex40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Ex4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4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Ex4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Ex44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Ex45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Ex46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Ex47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Ex48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Ex49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Ex50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Ex51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Ex52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Ex53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Ex54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Ex55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Ex56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Ex57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Ex58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Ex59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Ex60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863B-475D-AADA-A6CE4393FB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863B-475D-AADA-A6CE4393FBDD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63B-475D-AADA-A6CE4393FBDD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863B-475D-AADA-A6CE4393FBDD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63B-475D-AADA-A6CE4393FBDD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863B-475D-AADA-A6CE4393FBDD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63B-475D-AADA-A6CE4393FBDD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63B-475D-AADA-A6CE4393FBD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863B-475D-AADA-A6CE4393FBDD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863B-475D-AADA-A6CE4393FBDD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63B-475D-AADA-A6CE4393FBDD}"/>
              </c:ext>
            </c:extLst>
          </c:dPt>
          <c:dPt>
            <c:idx val="11"/>
            <c:bubble3D val="0"/>
            <c:spPr>
              <a:solidFill>
                <a:schemeClr val="bg1">
                  <a:lumMod val="9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863B-475D-AADA-A6CE4393FBDD}"/>
              </c:ext>
            </c:extLst>
          </c:dPt>
          <c:dPt>
            <c:idx val="1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63B-475D-AADA-A6CE4393FBD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63B-475D-AADA-A6CE4393FBDD}"/>
                </c:ext>
              </c:extLst>
            </c:dLbl>
            <c:dLbl>
              <c:idx val="7"/>
              <c:layout>
                <c:manualLayout>
                  <c:x val="-4.6620046620046623E-2"/>
                  <c:y val="8.3333333333332569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63B-475D-AADA-A6CE4393FB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3B-475D-AADA-A6CE4393FBDD}"/>
                </c:ext>
              </c:extLst>
            </c:dLbl>
            <c:dLbl>
              <c:idx val="9"/>
              <c:layout>
                <c:manualLayout>
                  <c:x val="-4.0404040404040407E-2"/>
                  <c:y val="-0.120833333333333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3B-475D-AADA-A6CE4393FBD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3B-475D-AADA-A6CE4393FBDD}"/>
                </c:ext>
              </c:extLst>
            </c:dLbl>
            <c:dLbl>
              <c:idx val="11"/>
              <c:layout>
                <c:manualLayout>
                  <c:x val="1.554001554001554E-2"/>
                  <c:y val="-0.1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3B-475D-AADA-A6CE4393FB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Feuil1!$A$2:$M$2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Feuil1!$A$3:$M$3</c:f>
              <c:numCache>
                <c:formatCode>General</c:formatCode>
                <c:ptCount val="13"/>
                <c:pt idx="0">
                  <c:v>41</c:v>
                </c:pt>
                <c:pt idx="1">
                  <c:v>0</c:v>
                </c:pt>
                <c:pt idx="2">
                  <c:v>93</c:v>
                </c:pt>
                <c:pt idx="3">
                  <c:v>13</c:v>
                </c:pt>
                <c:pt idx="4">
                  <c:v>32</c:v>
                </c:pt>
                <c:pt idx="5">
                  <c:v>35</c:v>
                </c:pt>
                <c:pt idx="6">
                  <c:v>24</c:v>
                </c:pt>
                <c:pt idx="7">
                  <c:v>2</c:v>
                </c:pt>
                <c:pt idx="8">
                  <c:v>0</c:v>
                </c:pt>
                <c:pt idx="9">
                  <c:v>27</c:v>
                </c:pt>
                <c:pt idx="10">
                  <c:v>0</c:v>
                </c:pt>
                <c:pt idx="11">
                  <c:v>4</c:v>
                </c:pt>
                <c:pt idx="1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B-475D-AADA-A6CE4393F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5D8-46AD-875E-D7AC906D36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5D8-46AD-875E-D7AC906D36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5D8-46AD-875E-D7AC906D361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5D8-46AD-875E-D7AC906D361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5D8-46AD-875E-D7AC906D361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5D8-46AD-875E-D7AC906D361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5D8-46AD-875E-D7AC906D361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5D8-46AD-875E-D7AC906D361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5D8-46AD-875E-D7AC906D361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5D8-46AD-875E-D7AC906D361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5D8-46AD-875E-D7AC906D361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E5D8-46AD-875E-D7AC906D3610}"/>
              </c:ext>
            </c:extLst>
          </c:dPt>
          <c:cat>
            <c:strRef>
              <c:f>Feuil1!$O$2:$Z$2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Feuil1!$O$3:$Z$3</c:f>
              <c:numCache>
                <c:formatCode>General</c:formatCode>
                <c:ptCount val="12"/>
                <c:pt idx="0">
                  <c:v>130</c:v>
                </c:pt>
                <c:pt idx="1">
                  <c:v>2</c:v>
                </c:pt>
                <c:pt idx="2">
                  <c:v>74</c:v>
                </c:pt>
                <c:pt idx="3">
                  <c:v>0</c:v>
                </c:pt>
                <c:pt idx="4">
                  <c:v>0</c:v>
                </c:pt>
                <c:pt idx="5">
                  <c:v>19</c:v>
                </c:pt>
                <c:pt idx="6">
                  <c:v>4</c:v>
                </c:pt>
                <c:pt idx="7">
                  <c:v>0</c:v>
                </c:pt>
                <c:pt idx="8">
                  <c:v>14</c:v>
                </c:pt>
                <c:pt idx="9">
                  <c:v>21</c:v>
                </c:pt>
                <c:pt idx="10">
                  <c:v>43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5D8-46AD-875E-D7AC906D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D7B-4F66-BCF7-1362D9CC00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D7B-4F66-BCF7-1362D9CC006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D7B-4F66-BCF7-1362D9CC006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D7B-4F66-BCF7-1362D9CC006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D7B-4F66-BCF7-1362D9CC006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D7B-4F66-BCF7-1362D9CC006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D7B-4F66-BCF7-1362D9CC006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D7B-4F66-BCF7-1362D9CC006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D7B-4F66-BCF7-1362D9CC006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D7B-4F66-BCF7-1362D9CC006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D7B-4F66-BCF7-1362D9CC006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D7B-4F66-BCF7-1362D9CC0061}"/>
              </c:ext>
            </c:extLst>
          </c:dPt>
          <c:cat>
            <c:strRef>
              <c:f>Feuil1!$AB$2:$AM$2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Feuil1!$AB$3:$AM$3</c:f>
              <c:numCache>
                <c:formatCode>General</c:formatCode>
                <c:ptCount val="12"/>
                <c:pt idx="0">
                  <c:v>196</c:v>
                </c:pt>
                <c:pt idx="1">
                  <c:v>3</c:v>
                </c:pt>
                <c:pt idx="2">
                  <c:v>0</c:v>
                </c:pt>
                <c:pt idx="3">
                  <c:v>41</c:v>
                </c:pt>
                <c:pt idx="4">
                  <c:v>0</c:v>
                </c:pt>
                <c:pt idx="5">
                  <c:v>16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7B-4F66-BCF7-1362D9CC0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BF6-48F3-AF42-099283460F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BF6-48F3-AF42-099283460F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BF6-48F3-AF42-099283460F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BF6-48F3-AF42-099283460F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BF6-48F3-AF42-099283460FB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BF6-48F3-AF42-099283460FB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BF6-48F3-AF42-099283460FB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BF6-48F3-AF42-099283460FB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BF6-48F3-AF42-099283460FB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BF6-48F3-AF42-099283460FB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BF6-48F3-AF42-099283460FB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BF6-48F3-AF42-099283460FB8}"/>
              </c:ext>
            </c:extLst>
          </c:dPt>
          <c:cat>
            <c:strRef>
              <c:f>Feuil1!$AO$2:$AZ$2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Feuil1!$AO$3:$AZ$3</c:f>
              <c:numCache>
                <c:formatCode>General</c:formatCode>
                <c:ptCount val="12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0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BF6-48F3-AF42-099283460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</cx:f>
      </cx:strDim>
      <cx:numDim type="size">
        <cx:f dir="row">_xlchart.v1.3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</cx:f>
      </cx:strDim>
      <cx:numDim type="size">
        <cx:f dir="row">_xlchart.v1.5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size">
        <cx:f dir="row">_xlchart.v1.1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size">
        <cx:f dir="row">_xlchart.v1.7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_xlchart.v1.10</cx:f>
      </cx:strDim>
      <cx:numDim type="size">
        <cx:f dir="row">_xlchart.v1.11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_xlchart.v1.14</cx:f>
      </cx:strDim>
      <cx:numDim type="size">
        <cx:f dir="row">_xlchart.v1.15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_xlchart.v1.12</cx:f>
      </cx:strDim>
      <cx:numDim type="size">
        <cx:f dir="row">_xlchart.v1.13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</cx:f>
      </cx:strDim>
      <cx:numDim type="size">
        <cx:f dir="row">_xlchart.v1.9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_xlchart.v1.20</cx:f>
      </cx:strDim>
      <cx:numDim type="size">
        <cx:f dir="row">_xlchart.v1.21</cx:f>
      </cx:numDim>
    </cx:data>
  </cx:chartData>
  <cx:chart>
    <cx:title pos="t" align="ctr" overlay="0">
      <cx:tx>
        <cx:txData>
          <cx:v>Présence Bureau</cx:v>
        </cx:txData>
      </cx:tx>
      <cx:txPr>
        <a:bodyPr vertOverflow="overflow" horzOverflow="overflow" wrap="square" lIns="0" tIns="0" rIns="0" bIns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Pt idx="0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66CC"/>
              </a:solidFill>
            </cx:spPr>
          </cx:dataPt>
          <cx:dataPt idx="5">
            <cx:spPr>
              <a:solidFill>
                <a:srgbClr val="FFC000"/>
              </a:solidFill>
            </cx:spPr>
          </cx:dataPt>
          <cx:dataPt idx="6">
            <cx:spPr>
              <a:solidFill>
                <a:srgbClr val="FFFF00"/>
              </a:solidFill>
            </cx:spPr>
          </cx:dataPt>
          <cx:dataPt idx="7">
            <cx:spPr>
              <a:solidFill>
                <a:srgbClr val="00B0F0"/>
              </a:solidFill>
            </cx:spPr>
          </cx:dataPt>
          <cx:dataPt idx="9">
            <cx:spPr>
              <a:solidFill>
                <a:srgbClr val="FF0000"/>
              </a:solidFill>
            </cx:spPr>
          </cx:dataPt>
          <cx:dataPt idx="11">
            <cx:spPr>
              <a:solidFill>
                <a:sysClr val="window" lastClr="FFFFFF"/>
              </a:solidFill>
            </cx:spPr>
          </cx:dataPt>
          <cx:dataPt idx="12">
            <cx:spPr>
              <a:solidFill>
                <a:srgbClr val="5B9BD5">
                  <a:lumMod val="20000"/>
                  <a:lumOff val="80000"/>
                </a:srgbClr>
              </a:solidFill>
            </cx:spPr>
          </cx:dataPt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lang="fr-FR" sz="900" b="0" i="0" u="none" strike="noStrike" spc="100" baseline="0">
                    <a:solidFill>
                      <a:sysClr val="window" lastClr="FFFFFF">
                        <a:lumMod val="95000"/>
                      </a:sysClr>
                    </a:solidFill>
                    <a:effectLst>
                      <a:outerShdw blurRad="50800" dist="38100" dir="5400000" algn="t" rotWithShape="0">
                        <a:prstClr val="black">
                          <a:alpha val="40000"/>
                        </a:prstClr>
                      </a:outerShdw>
                    </a:effectLst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fr-FR" sz="900" b="0" i="0" u="none" strike="noStrike" spc="100" baseline="0">
                  <a:solidFill>
                    <a:sysClr val="window" lastClr="FFFFFF">
                      <a:lumMod val="95000"/>
                    </a:sys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alibri" panose="020F0502020204030204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x:txPr>
            <cx:visibility seriesName="0" categoryName="1" value="1"/>
            <cx:separator>, </cx:separator>
          </cx:dataLabels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_xlchart.v1.18</cx:f>
      </cx:strDim>
      <cx:numDim type="size">
        <cx:f dir="row">_xlchart.v1.19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2">
            <cx:spPr>
              <a:solidFill>
                <a:srgbClr val="92D050"/>
              </a:solidFill>
            </cx:spPr>
          </cx:dataPt>
          <cx:dataPt idx="5">
            <cx:spPr>
              <a:solidFill>
                <a:srgbClr val="FFC000"/>
              </a:solidFill>
            </cx:spPr>
          </cx:dataPt>
          <cx:dataPt idx="6">
            <cx:spPr>
              <a:solidFill>
                <a:srgbClr val="FFFF00"/>
              </a:solidFill>
            </cx:spPr>
          </cx:dataPt>
          <cx:dataPt idx="8">
            <cx:spPr>
              <a:solidFill>
                <a:srgbClr val="0070C0"/>
              </a:solidFill>
            </cx:spPr>
          </cx:dataPt>
          <cx:dataPt idx="9">
            <cx:spPr>
              <a:solidFill>
                <a:srgbClr val="FF0000"/>
              </a:solidFill>
            </cx:spPr>
          </cx:dataPt>
          <cx:dataPt idx="10">
            <cx:spPr>
              <a:solidFill>
                <a:srgbClr val="FF6600"/>
              </a:solidFill>
            </cx:spPr>
          </cx:dataPt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baseline="0">
            <a:solidFill>
              <a:sysClr val="window" lastClr="FFFFFF">
                <a:lumMod val="95000"/>
              </a:sysClr>
            </a:solidFill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_xlchart.v1.16</cx:f>
      </cx:strDim>
      <cx:numDim type="size">
        <cx:f dir="row">_xlchart.v1.17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FF"/>
              </a:solidFill>
            </cx:spPr>
          </cx:dataPt>
          <cx:dataPt idx="5">
            <cx:spPr>
              <a:solidFill>
                <a:srgbClr val="FFC000"/>
              </a:solidFill>
            </cx:spPr>
          </cx:dataPt>
          <cx:dataPt idx="6">
            <cx:spPr>
              <a:solidFill>
                <a:srgbClr val="FFFF00"/>
              </a:solidFill>
            </cx:spPr>
          </cx:dataPt>
          <cx:dataPt idx="9">
            <cx:spPr>
              <a:solidFill>
                <a:srgbClr val="FF0000"/>
              </a:solidFill>
            </cx:spPr>
          </cx:dataPt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_xlchart.v1.22</cx:f>
      </cx:strDim>
      <cx:numDim type="size">
        <cx:f dir="row">_xlchart.v1.23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Pt idx="0">
            <cx:spPr>
              <a:solidFill>
                <a:srgbClr val="00B050"/>
              </a:solidFill>
            </cx:spPr>
          </cx:dataPt>
          <cx:dataPt idx="6">
            <cx:spPr>
              <a:solidFill>
                <a:srgbClr val="FFFF00"/>
              </a:solidFill>
            </cx:spPr>
          </cx:dataPt>
          <cx:dataPt idx="9">
            <cx:spPr>
              <a:solidFill>
                <a:srgbClr val="FF0000"/>
              </a:solidFill>
            </cx:spPr>
          </cx:dataPt>
          <cx:dataPt idx="11">
            <cx:spPr>
              <a:solidFill>
                <a:srgbClr val="5B9BD5">
                  <a:lumMod val="20000"/>
                  <a:lumOff val="80000"/>
                </a:srgbClr>
              </a:solidFill>
            </cx:spPr>
          </cx:dataPt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_xlchart.v1.30</cx:f>
      </cx:strDim>
      <cx:numDim type="size">
        <cx:f dir="row">_xlchart.v1.31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_xlchart.v1.26</cx:f>
      </cx:strDim>
      <cx:numDim type="size">
        <cx:f dir="row">_xlchart.v1.27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_xlchart.v1.24</cx:f>
      </cx:strDim>
      <cx:numDim type="size">
        <cx:f dir="row">_xlchart.v1.25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_xlchart.v1.28</cx:f>
      </cx:strDim>
      <cx:numDim type="size">
        <cx:f dir="row">_xlchart.v1.29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_xlchart.v1.36</cx:f>
      </cx:strDim>
      <cx:numDim type="size">
        <cx:f dir="row">_xlchart.v1.37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_xlchart.v1.38</cx:f>
      </cx:strDim>
      <cx:numDim type="size">
        <cx:f dir="row">_xlchart.v1.39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_xlchart.v1.32</cx:f>
      </cx:strDim>
      <cx:numDim type="size">
        <cx:f dir="row">_xlchart.v1.33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_xlchart.v1.34</cx:f>
      </cx:strDim>
      <cx:numDim type="size">
        <cx:f dir="row">_xlchart.v1.35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_xlchart.v1.42</cx:f>
      </cx:strDim>
      <cx:numDim type="size">
        <cx:f dir="row">_xlchart.v1.43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_xlchart.v1.44</cx:f>
      </cx:strDim>
      <cx:numDim type="size">
        <cx:f dir="row">_xlchart.v1.45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2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_xlchart.v1.40</cx:f>
      </cx:strDim>
      <cx:numDim type="size">
        <cx:f dir="row">_xlchart.v1.41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2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_xlchart.v1.46</cx:f>
      </cx:strDim>
      <cx:numDim type="size">
        <cx:f dir="row">_xlchart.v1.47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2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_xlchart.v1.54</cx:f>
      </cx:strDim>
      <cx:numDim type="size">
        <cx:f dir="row">_xlchart.v1.55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2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_xlchart.v1.48</cx:f>
      </cx:strDim>
      <cx:numDim type="size">
        <cx:f dir="row">_xlchart.v1.49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2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_xlchart.v1.52</cx:f>
      </cx:strDim>
      <cx:numDim type="size">
        <cx:f dir="row">_xlchart.v1.53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2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_xlchart.v1.50</cx:f>
      </cx:strDim>
      <cx:numDim type="size">
        <cx:f dir="row">_xlchart.v1.51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2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_xlchart.v1.56</cx:f>
      </cx:strDim>
      <cx:numDim type="size">
        <cx:f dir="row">_xlchart.v1.57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3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_xlchart.v1.62</cx:f>
      </cx:strDim>
      <cx:numDim type="size">
        <cx:f dir="row">_xlchart.v1.63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_xlchart.v1.58</cx:f>
      </cx:strDim>
      <cx:numDim type="size">
        <cx:f dir="row">_xlchart.v1.59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_xlchart.v1.60</cx:f>
      </cx:strDim>
      <cx:numDim type="size">
        <cx:f dir="row">_xlchart.v1.61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_xlchart.v1.70</cx:f>
      </cx:strDim>
      <cx:numDim type="size">
        <cx:f dir="row">_xlchart.v1.71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3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_xlchart.v1.66</cx:f>
      </cx:strDim>
      <cx:numDim type="size">
        <cx:f dir="row">_xlchart.v1.67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_xlchart.v1.68</cx:f>
      </cx:strDim>
      <cx:numDim type="size">
        <cx:f dir="row">_xlchart.v1.69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_xlchart.v1.64</cx:f>
      </cx:strDim>
      <cx:numDim type="size">
        <cx:f dir="row">_xlchart.v1.65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_xlchart.v1.76</cx:f>
      </cx:strDim>
      <cx:numDim type="size">
        <cx:f dir="row">_xlchart.v1.77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3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_xlchart.v1.78</cx:f>
      </cx:strDim>
      <cx:numDim type="size">
        <cx:f dir="row">_xlchart.v1.79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_xlchart.v1.74</cx:f>
      </cx:strDim>
      <cx:numDim type="size">
        <cx:f dir="row">_xlchart.v1.75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_xlchart.v1.72</cx:f>
      </cx:strDim>
      <cx:numDim type="size">
        <cx:f dir="row">_xlchart.v1.73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_xlchart.v1.80</cx:f>
      </cx:strDim>
      <cx:numDim type="size">
        <cx:f dir="row">_xlchart.v1.81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4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_xlchart.v1.82</cx:f>
      </cx:strDim>
      <cx:numDim type="size">
        <cx:f dir="row">_xlchart.v1.83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_xlchart.v1.86</cx:f>
      </cx:strDim>
      <cx:numDim type="size">
        <cx:f dir="row">_xlchart.v1.87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_xlchart.v1.84</cx:f>
      </cx:strDim>
      <cx:numDim type="size">
        <cx:f dir="row">_xlchart.v1.85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_xlchart.v1.94</cx:f>
      </cx:strDim>
      <cx:numDim type="size">
        <cx:f dir="row">_xlchart.v1.95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4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_xlchart.v1.92</cx:f>
      </cx:strDim>
      <cx:numDim type="size">
        <cx:f dir="row">_xlchart.v1.93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_xlchart.v1.90</cx:f>
      </cx:strDim>
      <cx:numDim type="size">
        <cx:f dir="row">_xlchart.v1.91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_xlchart.v1.88</cx:f>
      </cx:strDim>
      <cx:numDim type="size">
        <cx:f dir="row">_xlchart.v1.89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_xlchart.v1.96</cx:f>
      </cx:strDim>
      <cx:numDim type="size">
        <cx:f dir="row">_xlchart.v1.97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5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_xlchart.v1.98</cx:f>
      </cx:strDim>
      <cx:numDim type="size">
        <cx:f dir="row">_xlchart.v1.99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_xlchart.v1.102</cx:f>
      </cx:strDim>
      <cx:numDim type="size">
        <cx:f dir="row">_xlchart.v1.103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_xlchart.v1.100</cx:f>
      </cx:strDim>
      <cx:numDim type="size">
        <cx:f dir="row">_xlchart.v1.101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_xlchart.v1.106</cx:f>
      </cx:strDim>
      <cx:numDim type="size">
        <cx:f dir="row">_xlchart.v1.107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5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_xlchart.v1.104</cx:f>
      </cx:strDim>
      <cx:numDim type="size">
        <cx:f dir="row">_xlchart.v1.105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_xlchart.v1.108</cx:f>
      </cx:strDim>
      <cx:numDim type="size">
        <cx:f dir="row">_xlchart.v1.109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_xlchart.v1.110</cx:f>
      </cx:strDim>
      <cx:numDim type="size">
        <cx:f dir="row">_xlchart.v1.111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_xlchart.v1.116</cx:f>
      </cx:strDim>
      <cx:numDim type="size">
        <cx:f dir="row">_xlchart.v1.117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5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_xlchart.v1.114</cx:f>
      </cx:strDim>
      <cx:numDim type="size">
        <cx:f dir="row">_xlchart.v1.115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_xlchart.v1.112</cx:f>
      </cx:strDim>
      <cx:numDim type="size">
        <cx:f dir="row">_xlchart.v1.113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6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_xlchart.v1.118</cx:f>
      </cx:strDim>
      <cx:numDim type="size">
        <cx:f dir="row">_xlchart.v1.119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microsoft.com/office/2014/relationships/chartEx" Target="../charts/chartEx4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7.xml"/><Relationship Id="rId2" Type="http://schemas.microsoft.com/office/2014/relationships/chartEx" Target="../charts/chartEx6.xml"/><Relationship Id="rId1" Type="http://schemas.microsoft.com/office/2014/relationships/chartEx" Target="../charts/chartEx5.xml"/><Relationship Id="rId4" Type="http://schemas.microsoft.com/office/2014/relationships/chartEx" Target="../charts/chartEx8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11.xml"/><Relationship Id="rId2" Type="http://schemas.microsoft.com/office/2014/relationships/chartEx" Target="../charts/chartEx10.xml"/><Relationship Id="rId1" Type="http://schemas.microsoft.com/office/2014/relationships/chartEx" Target="../charts/chartEx9.xml"/><Relationship Id="rId4" Type="http://schemas.microsoft.com/office/2014/relationships/chartEx" Target="../charts/chartEx12.xml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15.xml"/><Relationship Id="rId2" Type="http://schemas.microsoft.com/office/2014/relationships/chartEx" Target="../charts/chartEx14.xml"/><Relationship Id="rId1" Type="http://schemas.microsoft.com/office/2014/relationships/chartEx" Target="../charts/chartEx13.xml"/><Relationship Id="rId4" Type="http://schemas.microsoft.com/office/2014/relationships/chartEx" Target="../charts/chartEx16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19.xml"/><Relationship Id="rId2" Type="http://schemas.microsoft.com/office/2014/relationships/chartEx" Target="../charts/chartEx18.xml"/><Relationship Id="rId1" Type="http://schemas.microsoft.com/office/2014/relationships/chartEx" Target="../charts/chartEx17.xml"/><Relationship Id="rId4" Type="http://schemas.microsoft.com/office/2014/relationships/chartEx" Target="../charts/chartEx20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23.xml"/><Relationship Id="rId2" Type="http://schemas.microsoft.com/office/2014/relationships/chartEx" Target="../charts/chartEx22.xml"/><Relationship Id="rId1" Type="http://schemas.microsoft.com/office/2014/relationships/chartEx" Target="../charts/chartEx21.xml"/><Relationship Id="rId4" Type="http://schemas.microsoft.com/office/2014/relationships/chartEx" Target="../charts/chartEx24.xml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14/relationships/chartEx" Target="../charts/chartEx27.xml"/><Relationship Id="rId2" Type="http://schemas.microsoft.com/office/2014/relationships/chartEx" Target="../charts/chartEx26.xml"/><Relationship Id="rId1" Type="http://schemas.microsoft.com/office/2014/relationships/chartEx" Target="../charts/chartEx25.xml"/><Relationship Id="rId4" Type="http://schemas.microsoft.com/office/2014/relationships/chartEx" Target="../charts/chartEx28.xm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14/relationships/chartEx" Target="../charts/chartEx31.xml"/><Relationship Id="rId2" Type="http://schemas.microsoft.com/office/2014/relationships/chartEx" Target="../charts/chartEx30.xml"/><Relationship Id="rId1" Type="http://schemas.microsoft.com/office/2014/relationships/chartEx" Target="../charts/chartEx29.xml"/><Relationship Id="rId4" Type="http://schemas.microsoft.com/office/2014/relationships/chartEx" Target="../charts/chartEx32.xml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14/relationships/chartEx" Target="../charts/chartEx35.xml"/><Relationship Id="rId2" Type="http://schemas.microsoft.com/office/2014/relationships/chartEx" Target="../charts/chartEx34.xml"/><Relationship Id="rId1" Type="http://schemas.microsoft.com/office/2014/relationships/chartEx" Target="../charts/chartEx33.xml"/><Relationship Id="rId4" Type="http://schemas.microsoft.com/office/2014/relationships/chartEx" Target="../charts/chartEx36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14/relationships/chartEx" Target="../charts/chartEx39.xml"/><Relationship Id="rId2" Type="http://schemas.microsoft.com/office/2014/relationships/chartEx" Target="../charts/chartEx38.xml"/><Relationship Id="rId1" Type="http://schemas.microsoft.com/office/2014/relationships/chartEx" Target="../charts/chartEx37.xml"/><Relationship Id="rId4" Type="http://schemas.microsoft.com/office/2014/relationships/chartEx" Target="../charts/chartEx40.xml"/></Relationships>
</file>

<file path=xl/drawings/_rels/drawing13.xml.rels><?xml version="1.0" encoding="UTF-8" standalone="yes"?>
<Relationships xmlns="http://schemas.openxmlformats.org/package/2006/relationships"><Relationship Id="rId3" Type="http://schemas.microsoft.com/office/2014/relationships/chartEx" Target="../charts/chartEx43.xml"/><Relationship Id="rId2" Type="http://schemas.microsoft.com/office/2014/relationships/chartEx" Target="../charts/chartEx42.xml"/><Relationship Id="rId1" Type="http://schemas.microsoft.com/office/2014/relationships/chartEx" Target="../charts/chartEx41.xml"/><Relationship Id="rId4" Type="http://schemas.microsoft.com/office/2014/relationships/chartEx" Target="../charts/chartEx44.xml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14/relationships/chartEx" Target="../charts/chartEx47.xml"/><Relationship Id="rId2" Type="http://schemas.microsoft.com/office/2014/relationships/chartEx" Target="../charts/chartEx46.xml"/><Relationship Id="rId1" Type="http://schemas.microsoft.com/office/2014/relationships/chartEx" Target="../charts/chartEx45.xml"/><Relationship Id="rId4" Type="http://schemas.microsoft.com/office/2014/relationships/chartEx" Target="../charts/chartEx48.xml"/></Relationships>
</file>

<file path=xl/drawings/_rels/drawing15.xml.rels><?xml version="1.0" encoding="UTF-8" standalone="yes"?>
<Relationships xmlns="http://schemas.openxmlformats.org/package/2006/relationships"><Relationship Id="rId3" Type="http://schemas.microsoft.com/office/2014/relationships/chartEx" Target="../charts/chartEx51.xml"/><Relationship Id="rId2" Type="http://schemas.microsoft.com/office/2014/relationships/chartEx" Target="../charts/chartEx50.xml"/><Relationship Id="rId1" Type="http://schemas.microsoft.com/office/2014/relationships/chartEx" Target="../charts/chartEx49.xml"/><Relationship Id="rId4" Type="http://schemas.microsoft.com/office/2014/relationships/chartEx" Target="../charts/chartEx52.xml"/></Relationships>
</file>

<file path=xl/drawings/_rels/drawing16.xml.rels><?xml version="1.0" encoding="UTF-8" standalone="yes"?>
<Relationships xmlns="http://schemas.openxmlformats.org/package/2006/relationships"><Relationship Id="rId3" Type="http://schemas.microsoft.com/office/2014/relationships/chartEx" Target="../charts/chartEx55.xml"/><Relationship Id="rId2" Type="http://schemas.microsoft.com/office/2014/relationships/chartEx" Target="../charts/chartEx54.xml"/><Relationship Id="rId1" Type="http://schemas.microsoft.com/office/2014/relationships/chartEx" Target="../charts/chartEx53.xml"/><Relationship Id="rId4" Type="http://schemas.microsoft.com/office/2014/relationships/chartEx" Target="../charts/chartEx56.xml"/></Relationships>
</file>

<file path=xl/drawings/_rels/drawing17.xml.rels><?xml version="1.0" encoding="UTF-8" standalone="yes"?>
<Relationships xmlns="http://schemas.openxmlformats.org/package/2006/relationships"><Relationship Id="rId3" Type="http://schemas.microsoft.com/office/2014/relationships/chartEx" Target="../charts/chartEx59.xml"/><Relationship Id="rId2" Type="http://schemas.microsoft.com/office/2014/relationships/chartEx" Target="../charts/chartEx58.xml"/><Relationship Id="rId1" Type="http://schemas.microsoft.com/office/2014/relationships/chartEx" Target="../charts/chartEx57.xml"/><Relationship Id="rId4" Type="http://schemas.microsoft.com/office/2014/relationships/chartEx" Target="../charts/chartEx6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un agent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1</xdr:col>
          <xdr:colOff>5372100</xdr:colOff>
          <xdr:row>17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Creer 14 feuilles mensuelles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13</xdr:col>
      <xdr:colOff>0</xdr:colOff>
      <xdr:row>20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</xdr:row>
      <xdr:rowOff>0</xdr:rowOff>
    </xdr:from>
    <xdr:to>
      <xdr:col>26</xdr:col>
      <xdr:colOff>0</xdr:colOff>
      <xdr:row>20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</xdr:row>
      <xdr:rowOff>0</xdr:rowOff>
    </xdr:from>
    <xdr:to>
      <xdr:col>39</xdr:col>
      <xdr:colOff>0</xdr:colOff>
      <xdr:row>20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Graphique 2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31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2843017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0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31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2828925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33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471667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33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457575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33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471667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33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A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457575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33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471667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33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457575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F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F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F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10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10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84</xdr:row>
      <xdr:rowOff>9525</xdr:rowOff>
    </xdr:from>
    <xdr:to>
      <xdr:col>15</xdr:col>
      <xdr:colOff>292796</xdr:colOff>
      <xdr:row>102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7162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84</xdr:row>
      <xdr:rowOff>0</xdr:rowOff>
    </xdr:from>
    <xdr:to>
      <xdr:col>34</xdr:col>
      <xdr:colOff>14092</xdr:colOff>
      <xdr:row>101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11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7067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15</xdr:col>
      <xdr:colOff>14092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11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7358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106</xdr:row>
      <xdr:rowOff>0</xdr:rowOff>
    </xdr:from>
    <xdr:to>
      <xdr:col>34</xdr:col>
      <xdr:colOff>0</xdr:colOff>
      <xdr:row>123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11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7358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TARD Karyne" id="{87FEF28B-D472-4A87-A0DC-331B31F5FC6B}" userId="S::k.lutard@bordeaux-metropole.fr::564a9c58-8561-4069-8bf0-8bb0e6ca98c1" providerId="AD"/>
  <person displayName="SIGALA Jean-Christophe" id="{23FA3518-E9C6-4B47-9AD0-CF829EF07D70}" userId="S::jc.sigala@bordeaux-metropole.fr::5264fd3b-9167-44e4-999c-449ab8aab65c" providerId="AD"/>
  <person displayName="VRBOVSKA Xavier" id="{4B0C9943-62A0-433C-B5ED-C6C75F258DFE}" userId="S::x.vrbovska@bordeaux-metropole.fr::71d06b10-eea0-4e6c-89b6-4ec941f1bad2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9" dT="2026-01-02T08:52:51.01" personId="{87FEF28B-D472-4A87-A0DC-331B31F5FC6B}" id="{7DB90659-CA33-4A4C-A451-CB56E8ECB913}">
    <text xml:space="preserve">Recyclage habilitation électrique
</text>
  </threadedComment>
  <threadedComment ref="P19" dT="2026-01-05T08:03:00.75" personId="{4B0C9943-62A0-433C-B5ED-C6C75F258DFE}" id="{3B953077-5B19-483D-8A13-C7F1CB163521}">
    <text>Recyclage habilitation électrique</text>
  </threadedComment>
  <threadedComment ref="AE19" dT="2026-01-02T08:53:32.33" personId="{87FEF28B-D472-4A87-A0DC-331B31F5FC6B}" id="{6BF217DB-2B99-4FFF-89C6-DBDA25374B12}">
    <text>Les opérations d'infrastructures de voirie : les fondamentaux de la maîtrise d'ouvrage</text>
  </threadedComment>
  <threadedComment ref="AF19" dT="2026-01-05T08:03:39.21" personId="{4B0C9943-62A0-433C-B5ED-C6C75F258DFE}" id="{266B2719-B7B3-4D9A-879F-41DFB01371FF}">
    <text>Les opérations d'infrastructures de voirie : les fondamentaux de la maîtrise d'ouvrage</text>
  </threadedComment>
  <threadedComment ref="AG19" dT="2026-01-05T08:03:27.29" personId="{4B0C9943-62A0-433C-B5ED-C6C75F258DFE}" id="{F7490259-EB28-4C4D-9309-062C622E060D}">
    <text>Les opérations d'infrastructures de voirie : les fondamentaux de la maîtrise d'ouvrage</text>
  </threadedComment>
  <threadedComment ref="O31" dT="2026-01-02T08:52:51.01" personId="{87FEF28B-D472-4A87-A0DC-331B31F5FC6B}" id="{601119A6-C1A4-44E0-BD51-586D4E526949}">
    <text xml:space="preserve">Recyclage habilitation électrique
</text>
  </threadedComment>
  <threadedComment ref="V34" dT="2026-01-02T12:32:53.40" personId="{23FA3518-E9C6-4B47-9AD0-CF829EF07D70}" id="{9DD5539A-9168-4A43-B4C9-CEB4E46C4B8F}">
    <text>CA l'après-midi</text>
  </threadedComment>
  <threadedComment ref="W52" dT="2026-01-07T08:15:01.08" personId="{87FEF28B-D472-4A87-A0DC-331B31F5FC6B}" id="{C398FDB4-E4E1-4025-9CC7-1DDAAE64C8FA}">
    <text>APRES MIDI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B2:J34"/>
  <sheetViews>
    <sheetView workbookViewId="0">
      <selection activeCell="B8" sqref="B8"/>
    </sheetView>
  </sheetViews>
  <sheetFormatPr baseColWidth="10" defaultColWidth="11.42578125" defaultRowHeight="14.25" x14ac:dyDescent="0.2"/>
  <cols>
    <col min="1" max="1" width="11.42578125" style="3" customWidth="1"/>
    <col min="2" max="2" width="81.7109375" style="3" bestFit="1" customWidth="1"/>
    <col min="3" max="3" width="19.5703125" style="3" bestFit="1" customWidth="1"/>
    <col min="4" max="5" width="11.28515625" style="3" bestFit="1" customWidth="1"/>
    <col min="6" max="6" width="11.42578125" style="3" customWidth="1"/>
    <col min="7" max="16384" width="11.42578125" style="3"/>
  </cols>
  <sheetData>
    <row r="2" spans="2:10" ht="20.25" customHeight="1" x14ac:dyDescent="0.3">
      <c r="B2" s="4" t="s">
        <v>0</v>
      </c>
    </row>
    <row r="5" spans="2:10" ht="15.75" customHeight="1" x14ac:dyDescent="0.25">
      <c r="B5" s="6" t="s">
        <v>1</v>
      </c>
      <c r="D5" s="3" t="s">
        <v>2</v>
      </c>
    </row>
    <row r="8" spans="2:10" x14ac:dyDescent="0.2">
      <c r="B8" s="7" t="s">
        <v>3</v>
      </c>
    </row>
    <row r="9" spans="2:10" x14ac:dyDescent="0.2">
      <c r="B9" s="3" t="s">
        <v>4</v>
      </c>
    </row>
    <row r="10" spans="2:10" x14ac:dyDescent="0.2">
      <c r="B10" s="3" t="s">
        <v>5</v>
      </c>
    </row>
    <row r="11" spans="2:10" x14ac:dyDescent="0.2">
      <c r="B11" s="3" t="s">
        <v>6</v>
      </c>
    </row>
    <row r="12" spans="2:10" x14ac:dyDescent="0.2">
      <c r="B12" s="3" t="s">
        <v>7</v>
      </c>
    </row>
    <row r="15" spans="2:10" ht="15.75" customHeight="1" x14ac:dyDescent="0.25">
      <c r="B15" s="6" t="s">
        <v>8</v>
      </c>
      <c r="G15" s="1"/>
      <c r="H15" s="1"/>
      <c r="I15" s="2"/>
      <c r="J15" s="1"/>
    </row>
    <row r="16" spans="2:10" ht="15" customHeight="1" x14ac:dyDescent="0.2">
      <c r="G16" s="1"/>
      <c r="H16" s="1" t="s">
        <v>2</v>
      </c>
      <c r="I16" s="1" t="s">
        <v>2</v>
      </c>
      <c r="J16" s="1"/>
    </row>
    <row r="17" spans="2:7" ht="15" customHeight="1" x14ac:dyDescent="0.2">
      <c r="F17" s="1"/>
      <c r="G17" s="1"/>
    </row>
    <row r="18" spans="2:7" ht="15.75" customHeight="1" x14ac:dyDescent="0.25">
      <c r="B18" s="7" t="s">
        <v>9</v>
      </c>
      <c r="C18" s="10" t="s">
        <v>10</v>
      </c>
      <c r="D18" s="11"/>
      <c r="G18" s="1"/>
    </row>
    <row r="19" spans="2:7" ht="25.5" customHeight="1" x14ac:dyDescent="0.2">
      <c r="B19" s="9" t="s">
        <v>11</v>
      </c>
      <c r="C19" s="16">
        <v>2026</v>
      </c>
      <c r="D19" s="11"/>
      <c r="G19" s="1"/>
    </row>
    <row r="20" spans="2:7" ht="15.75" customHeight="1" x14ac:dyDescent="0.25">
      <c r="B20" s="3" t="s">
        <v>12</v>
      </c>
      <c r="C20" s="10" t="s">
        <v>13</v>
      </c>
      <c r="D20" s="12"/>
      <c r="E20" s="13"/>
      <c r="G20" s="1"/>
    </row>
    <row r="21" spans="2:7" ht="15" customHeight="1" x14ac:dyDescent="0.2">
      <c r="B21" s="3" t="s">
        <v>14</v>
      </c>
      <c r="C21" s="119" t="s">
        <v>15</v>
      </c>
      <c r="D21" s="14">
        <f>EDATE(D22,-1)</f>
        <v>45992</v>
      </c>
      <c r="E21" s="14">
        <f t="shared" ref="E21:E34" si="0">EOMONTH(D21,0)</f>
        <v>46022</v>
      </c>
      <c r="G21" s="1"/>
    </row>
    <row r="22" spans="2:7" ht="15" customHeight="1" x14ac:dyDescent="0.2">
      <c r="B22" s="3" t="s">
        <v>16</v>
      </c>
      <c r="C22" s="119" t="s">
        <v>17</v>
      </c>
      <c r="D22" s="15">
        <f>DATE(Annee,1,1)</f>
        <v>46023</v>
      </c>
      <c r="E22" s="15">
        <f t="shared" si="0"/>
        <v>46053</v>
      </c>
      <c r="G22" s="1"/>
    </row>
    <row r="23" spans="2:7" ht="15" customHeight="1" x14ac:dyDescent="0.2">
      <c r="B23" s="3" t="s">
        <v>18</v>
      </c>
      <c r="C23" s="119" t="s">
        <v>19</v>
      </c>
      <c r="D23" s="15">
        <f t="shared" ref="D23:D34" si="1">EDATE(D22,1)</f>
        <v>46054</v>
      </c>
      <c r="E23" s="15">
        <f t="shared" si="0"/>
        <v>46081</v>
      </c>
      <c r="G23" s="1"/>
    </row>
    <row r="24" spans="2:7" ht="15" customHeight="1" x14ac:dyDescent="0.2">
      <c r="B24" s="3" t="s">
        <v>20</v>
      </c>
      <c r="C24" s="119" t="s">
        <v>21</v>
      </c>
      <c r="D24" s="15">
        <f t="shared" si="1"/>
        <v>46082</v>
      </c>
      <c r="E24" s="15">
        <f t="shared" si="0"/>
        <v>46112</v>
      </c>
    </row>
    <row r="25" spans="2:7" ht="15" customHeight="1" x14ac:dyDescent="0.2">
      <c r="C25" s="119" t="s">
        <v>22</v>
      </c>
      <c r="D25" s="15">
        <f t="shared" si="1"/>
        <v>46113</v>
      </c>
      <c r="E25" s="15">
        <f t="shared" si="0"/>
        <v>46142</v>
      </c>
    </row>
    <row r="26" spans="2:7" ht="15" customHeight="1" x14ac:dyDescent="0.2">
      <c r="C26" s="119" t="s">
        <v>23</v>
      </c>
      <c r="D26" s="15">
        <f t="shared" si="1"/>
        <v>46143</v>
      </c>
      <c r="E26" s="15">
        <f t="shared" si="0"/>
        <v>46173</v>
      </c>
    </row>
    <row r="27" spans="2:7" ht="15.75" customHeight="1" x14ac:dyDescent="0.25">
      <c r="B27" s="8"/>
      <c r="C27" s="119" t="s">
        <v>24</v>
      </c>
      <c r="D27" s="15">
        <f t="shared" si="1"/>
        <v>46174</v>
      </c>
      <c r="E27" s="15">
        <f t="shared" si="0"/>
        <v>46203</v>
      </c>
    </row>
    <row r="28" spans="2:7" ht="15" customHeight="1" x14ac:dyDescent="0.25">
      <c r="B28" s="5"/>
      <c r="C28" s="119" t="s">
        <v>25</v>
      </c>
      <c r="D28" s="15">
        <f t="shared" si="1"/>
        <v>46204</v>
      </c>
      <c r="E28" s="15">
        <f t="shared" si="0"/>
        <v>46234</v>
      </c>
    </row>
    <row r="29" spans="2:7" ht="15" customHeight="1" x14ac:dyDescent="0.2">
      <c r="C29" s="119" t="s">
        <v>26</v>
      </c>
      <c r="D29" s="15">
        <f t="shared" si="1"/>
        <v>46235</v>
      </c>
      <c r="E29" s="15">
        <f t="shared" si="0"/>
        <v>46265</v>
      </c>
    </row>
    <row r="30" spans="2:7" ht="15" customHeight="1" x14ac:dyDescent="0.2">
      <c r="C30" s="119" t="s">
        <v>27</v>
      </c>
      <c r="D30" s="15">
        <f t="shared" si="1"/>
        <v>46266</v>
      </c>
      <c r="E30" s="15">
        <f t="shared" si="0"/>
        <v>46295</v>
      </c>
    </row>
    <row r="31" spans="2:7" x14ac:dyDescent="0.2">
      <c r="C31" s="119" t="s">
        <v>28</v>
      </c>
      <c r="D31" s="15">
        <f t="shared" si="1"/>
        <v>46296</v>
      </c>
      <c r="E31" s="15">
        <f t="shared" si="0"/>
        <v>46326</v>
      </c>
    </row>
    <row r="32" spans="2:7" x14ac:dyDescent="0.2">
      <c r="C32" s="119" t="s">
        <v>29</v>
      </c>
      <c r="D32" s="15">
        <f t="shared" si="1"/>
        <v>46327</v>
      </c>
      <c r="E32" s="15">
        <f t="shared" si="0"/>
        <v>46356</v>
      </c>
    </row>
    <row r="33" spans="2:5" x14ac:dyDescent="0.2">
      <c r="C33" s="119" t="s">
        <v>15</v>
      </c>
      <c r="D33" s="15">
        <f t="shared" si="1"/>
        <v>46357</v>
      </c>
      <c r="E33" s="15">
        <f t="shared" si="0"/>
        <v>46387</v>
      </c>
    </row>
    <row r="34" spans="2:5" ht="15" customHeight="1" x14ac:dyDescent="0.25">
      <c r="B34" s="5"/>
      <c r="C34" s="119" t="s">
        <v>17</v>
      </c>
      <c r="D34" s="15">
        <f t="shared" si="1"/>
        <v>46388</v>
      </c>
      <c r="E34" s="15">
        <f t="shared" si="0"/>
        <v>46418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jouterAgent.AjouterAgen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erPlannings14Mois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5372100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H80"/>
  <sheetViews>
    <sheetView tabSelected="1" workbookViewId="0">
      <pane xSplit="3" topLeftCell="D1" activePane="topRight" state="frozen"/>
      <selection activeCell="A34" sqref="A34"/>
      <selection pane="topRight" activeCell="D12" sqref="D12:AH80"/>
    </sheetView>
  </sheetViews>
  <sheetFormatPr baseColWidth="10" defaultColWidth="11.42578125" defaultRowHeight="15" x14ac:dyDescent="0.25"/>
  <cols>
    <col min="1" max="1" width="10.5703125" style="17" bestFit="1" customWidth="1"/>
    <col min="2" max="2" width="42.5703125" style="17" bestFit="1" customWidth="1"/>
    <col min="3" max="3" width="18" style="17" bestFit="1" customWidth="1"/>
    <col min="4" max="26" width="13.7109375" style="17" customWidth="1"/>
    <col min="27" max="34" width="15" customWidth="1"/>
    <col min="35" max="16384" width="11.42578125" style="3"/>
  </cols>
  <sheetData>
    <row r="1" spans="1:34" hidden="1" x14ac:dyDescent="0.25"/>
    <row r="2" spans="1:34" hidden="1" x14ac:dyDescent="0.25"/>
    <row r="3" spans="1:34" hidden="1" x14ac:dyDescent="0.25"/>
    <row r="4" spans="1:34" hidden="1" x14ac:dyDescent="0.25"/>
    <row r="5" spans="1:34" hidden="1" x14ac:dyDescent="0.25"/>
    <row r="6" spans="1:34" hidden="1" x14ac:dyDescent="0.25"/>
    <row r="7" spans="1:34" hidden="1" x14ac:dyDescent="0.25"/>
    <row r="8" spans="1:34" hidden="1" x14ac:dyDescent="0.25"/>
    <row r="9" spans="1:34" hidden="1" x14ac:dyDescent="0.25">
      <c r="H9" s="18"/>
      <c r="I9" s="18"/>
    </row>
    <row r="10" spans="1:34" ht="45" customHeight="1" x14ac:dyDescent="0.25">
      <c r="A10" s="273" t="s">
        <v>30</v>
      </c>
      <c r="B10" s="273" t="s">
        <v>31</v>
      </c>
      <c r="C10" s="273" t="s">
        <v>32</v>
      </c>
      <c r="D10" s="274" t="s">
        <v>33</v>
      </c>
      <c r="E10" s="275" t="s">
        <v>34</v>
      </c>
      <c r="F10" s="275" t="s">
        <v>35</v>
      </c>
      <c r="G10" s="276" t="s">
        <v>36</v>
      </c>
      <c r="H10" s="276" t="s">
        <v>37</v>
      </c>
      <c r="I10" s="276" t="s">
        <v>38</v>
      </c>
      <c r="J10" s="276" t="s">
        <v>39</v>
      </c>
      <c r="K10" s="276" t="s">
        <v>40</v>
      </c>
      <c r="L10" s="276" t="s">
        <v>41</v>
      </c>
      <c r="M10" s="276" t="s">
        <v>42</v>
      </c>
      <c r="N10" s="276" t="s">
        <v>43</v>
      </c>
      <c r="O10" s="276" t="s">
        <v>44</v>
      </c>
      <c r="P10" s="276" t="s">
        <v>45</v>
      </c>
      <c r="Q10" s="276" t="s">
        <v>46</v>
      </c>
      <c r="R10" s="276" t="s">
        <v>47</v>
      </c>
      <c r="S10" s="276" t="s">
        <v>48</v>
      </c>
      <c r="T10" s="277" t="s">
        <v>49</v>
      </c>
      <c r="U10" s="278" t="s">
        <v>50</v>
      </c>
      <c r="V10" s="278" t="s">
        <v>51</v>
      </c>
      <c r="W10" s="278" t="s">
        <v>52</v>
      </c>
      <c r="X10" s="279" t="s">
        <v>53</v>
      </c>
      <c r="Y10" s="280" t="s">
        <v>54</v>
      </c>
      <c r="Z10" s="281" t="s">
        <v>55</v>
      </c>
      <c r="AA10" s="286" t="s">
        <v>56</v>
      </c>
      <c r="AB10" s="286" t="s">
        <v>57</v>
      </c>
      <c r="AC10" s="286" t="s">
        <v>58</v>
      </c>
      <c r="AD10" s="286" t="s">
        <v>59</v>
      </c>
      <c r="AE10" s="286" t="s">
        <v>60</v>
      </c>
      <c r="AF10" s="286" t="s">
        <v>61</v>
      </c>
      <c r="AG10" s="286" t="s">
        <v>62</v>
      </c>
      <c r="AH10" s="308"/>
    </row>
    <row r="11" spans="1:34" ht="14.25" x14ac:dyDescent="0.2">
      <c r="A11" s="19"/>
      <c r="B11" s="20" t="s">
        <v>63</v>
      </c>
      <c r="C11" s="21"/>
      <c r="D11" s="283"/>
      <c r="E11" s="325"/>
      <c r="F11" s="283"/>
      <c r="G11" s="283"/>
      <c r="H11" s="283"/>
      <c r="I11" s="283"/>
      <c r="J11" s="283"/>
      <c r="K11" s="283"/>
      <c r="L11" s="283"/>
      <c r="M11" s="283"/>
      <c r="N11" s="283"/>
      <c r="O11" s="283"/>
      <c r="P11" s="283"/>
      <c r="Q11" s="283"/>
      <c r="R11" s="283"/>
      <c r="S11" s="283"/>
      <c r="T11" s="283"/>
      <c r="U11" s="283"/>
      <c r="V11" s="283"/>
      <c r="W11" s="283"/>
      <c r="X11" s="283"/>
      <c r="Y11" s="283"/>
      <c r="Z11" s="283"/>
      <c r="AA11" s="284"/>
      <c r="AB11" s="284"/>
      <c r="AC11" s="284"/>
      <c r="AD11" s="284"/>
      <c r="AE11" s="284"/>
      <c r="AF11" s="284"/>
      <c r="AG11" s="284"/>
      <c r="AH11" s="285"/>
    </row>
    <row r="12" spans="1:34" ht="15" customHeight="1" x14ac:dyDescent="0.2">
      <c r="A12" s="30" t="s">
        <v>64</v>
      </c>
      <c r="B12" s="31" t="s">
        <v>65</v>
      </c>
      <c r="C12" s="30" t="s">
        <v>66</v>
      </c>
      <c r="D12" s="124"/>
      <c r="E12" s="326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326"/>
      <c r="T12" s="124"/>
      <c r="U12" s="124"/>
      <c r="V12" s="326"/>
      <c r="W12" s="326"/>
      <c r="X12" s="326"/>
      <c r="Y12" s="326"/>
      <c r="Z12" s="326"/>
      <c r="AA12" s="287"/>
      <c r="AB12" s="287"/>
      <c r="AC12" s="287"/>
      <c r="AD12" s="287"/>
      <c r="AE12" s="287"/>
      <c r="AF12" s="287"/>
      <c r="AG12" s="287"/>
      <c r="AH12" s="287"/>
    </row>
    <row r="13" spans="1:34" ht="14.25" x14ac:dyDescent="0.2">
      <c r="A13" s="24"/>
      <c r="B13" s="25" t="s">
        <v>67</v>
      </c>
      <c r="C13" s="26"/>
      <c r="D13" s="120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  <c r="R13" s="327"/>
      <c r="S13" s="327"/>
      <c r="T13" s="120"/>
      <c r="U13" s="120"/>
      <c r="V13" s="327"/>
      <c r="W13" s="327"/>
      <c r="X13" s="327"/>
      <c r="Y13" s="327"/>
      <c r="Z13" s="327"/>
      <c r="AA13" s="120"/>
      <c r="AB13" s="120"/>
      <c r="AC13" s="120"/>
      <c r="AD13" s="120"/>
      <c r="AE13" s="120"/>
      <c r="AF13" s="120"/>
      <c r="AG13" s="120"/>
      <c r="AH13" s="121"/>
    </row>
    <row r="14" spans="1:34" ht="15" customHeight="1" x14ac:dyDescent="0.2">
      <c r="A14" s="30" t="s">
        <v>68</v>
      </c>
      <c r="B14" s="31" t="s">
        <v>69</v>
      </c>
      <c r="C14" s="30" t="s">
        <v>70</v>
      </c>
      <c r="D14" s="124"/>
      <c r="E14" s="326"/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  <c r="R14" s="326"/>
      <c r="S14" s="326"/>
      <c r="T14" s="124"/>
      <c r="U14" s="124"/>
      <c r="V14" s="326"/>
      <c r="W14" s="326"/>
      <c r="X14" s="326"/>
      <c r="Y14" s="326"/>
      <c r="Z14" s="326"/>
      <c r="AA14" s="287"/>
      <c r="AB14" s="287"/>
      <c r="AC14" s="287"/>
      <c r="AD14" s="287"/>
      <c r="AE14" s="287"/>
      <c r="AF14" s="287"/>
      <c r="AG14" s="287"/>
      <c r="AH14" s="287"/>
    </row>
    <row r="15" spans="1:34" ht="14.25" x14ac:dyDescent="0.2">
      <c r="A15" s="251"/>
      <c r="B15" s="252" t="s">
        <v>71</v>
      </c>
      <c r="C15" s="253"/>
      <c r="D15" s="253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  <c r="R15" s="328"/>
      <c r="S15" s="328"/>
      <c r="T15" s="253"/>
      <c r="U15" s="253"/>
      <c r="V15" s="328"/>
      <c r="W15" s="328"/>
      <c r="X15" s="328"/>
      <c r="Y15" s="328"/>
      <c r="Z15" s="328"/>
      <c r="AA15" s="253"/>
      <c r="AB15" s="253"/>
      <c r="AC15" s="253"/>
      <c r="AD15" s="253"/>
      <c r="AE15" s="253"/>
      <c r="AF15" s="253"/>
      <c r="AG15" s="253"/>
      <c r="AH15" s="269"/>
    </row>
    <row r="16" spans="1:34" ht="14.25" x14ac:dyDescent="0.2">
      <c r="A16" s="257"/>
      <c r="B16" s="258" t="s">
        <v>72</v>
      </c>
      <c r="C16" s="259"/>
      <c r="D16" s="259"/>
      <c r="E16" s="329"/>
      <c r="F16" s="329"/>
      <c r="G16" s="329"/>
      <c r="H16" s="329"/>
      <c r="I16" s="329"/>
      <c r="J16" s="329"/>
      <c r="K16" s="329"/>
      <c r="L16" s="329"/>
      <c r="M16" s="329"/>
      <c r="N16" s="329"/>
      <c r="O16" s="329"/>
      <c r="P16" s="329"/>
      <c r="Q16" s="329"/>
      <c r="R16" s="329"/>
      <c r="S16" s="329"/>
      <c r="T16" s="259"/>
      <c r="U16" s="259"/>
      <c r="V16" s="329"/>
      <c r="W16" s="329"/>
      <c r="X16" s="329"/>
      <c r="Y16" s="329"/>
      <c r="Z16" s="329"/>
      <c r="AA16" s="259"/>
      <c r="AB16" s="259"/>
      <c r="AC16" s="259"/>
      <c r="AD16" s="259"/>
      <c r="AE16" s="259"/>
      <c r="AF16" s="259"/>
      <c r="AG16" s="259"/>
      <c r="AH16" s="270"/>
    </row>
    <row r="17" spans="1:34" ht="15" customHeight="1" x14ac:dyDescent="0.2">
      <c r="A17" s="30" t="s">
        <v>73</v>
      </c>
      <c r="B17" s="31" t="s">
        <v>74</v>
      </c>
      <c r="C17" s="30" t="s">
        <v>75</v>
      </c>
      <c r="D17" s="124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124"/>
      <c r="U17" s="124"/>
      <c r="V17" s="326"/>
      <c r="W17" s="326"/>
      <c r="X17" s="326"/>
      <c r="Y17" s="326"/>
      <c r="Z17" s="326"/>
      <c r="AA17" s="287"/>
      <c r="AB17" s="287"/>
      <c r="AC17" s="287"/>
      <c r="AD17" s="287"/>
      <c r="AE17" s="287"/>
      <c r="AF17" s="287"/>
      <c r="AG17" s="287"/>
      <c r="AH17" s="287"/>
    </row>
    <row r="18" spans="1:34" ht="14.25" x14ac:dyDescent="0.2">
      <c r="A18" s="263"/>
      <c r="B18" s="264" t="s">
        <v>76</v>
      </c>
      <c r="C18" s="265"/>
      <c r="D18" s="265"/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330"/>
      <c r="Q18" s="330"/>
      <c r="R18" s="330"/>
      <c r="S18" s="330"/>
      <c r="T18" s="265"/>
      <c r="U18" s="265"/>
      <c r="V18" s="330"/>
      <c r="W18" s="330"/>
      <c r="X18" s="330"/>
      <c r="Y18" s="330"/>
      <c r="Z18" s="330"/>
      <c r="AA18" s="265"/>
      <c r="AB18" s="265"/>
      <c r="AC18" s="265"/>
      <c r="AD18" s="265"/>
      <c r="AE18" s="265"/>
      <c r="AF18" s="265"/>
      <c r="AG18" s="265"/>
      <c r="AH18" s="271"/>
    </row>
    <row r="19" spans="1:34" ht="15" customHeight="1" x14ac:dyDescent="0.2">
      <c r="A19" s="30" t="s">
        <v>77</v>
      </c>
      <c r="B19" s="31" t="s">
        <v>78</v>
      </c>
      <c r="C19" s="30" t="s">
        <v>79</v>
      </c>
      <c r="D19" s="124"/>
      <c r="E19" s="326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124"/>
      <c r="U19" s="124"/>
      <c r="V19" s="326"/>
      <c r="W19" s="326"/>
      <c r="X19" s="326"/>
      <c r="Y19" s="326"/>
      <c r="Z19" s="326"/>
      <c r="AA19" s="287"/>
      <c r="AB19" s="287"/>
      <c r="AC19" s="287"/>
      <c r="AD19" s="287"/>
      <c r="AE19" s="287"/>
      <c r="AF19" s="287"/>
      <c r="AG19" s="287"/>
      <c r="AH19" s="287"/>
    </row>
    <row r="20" spans="1:34" ht="14.25" x14ac:dyDescent="0.2">
      <c r="A20" s="151"/>
      <c r="B20" s="145" t="s">
        <v>80</v>
      </c>
      <c r="C20" s="146"/>
      <c r="D20" s="146"/>
      <c r="E20" s="331"/>
      <c r="F20" s="331"/>
      <c r="G20" s="331"/>
      <c r="H20" s="331"/>
      <c r="I20" s="331"/>
      <c r="J20" s="331"/>
      <c r="K20" s="331"/>
      <c r="L20" s="331"/>
      <c r="M20" s="331"/>
      <c r="N20" s="331"/>
      <c r="O20" s="331"/>
      <c r="P20" s="331"/>
      <c r="Q20" s="331"/>
      <c r="R20" s="331"/>
      <c r="S20" s="331"/>
      <c r="T20" s="146"/>
      <c r="U20" s="146"/>
      <c r="V20" s="331"/>
      <c r="W20" s="331"/>
      <c r="X20" s="331"/>
      <c r="Y20" s="331"/>
      <c r="Z20" s="331"/>
      <c r="AA20" s="146"/>
      <c r="AB20" s="146"/>
      <c r="AC20" s="146"/>
      <c r="AD20" s="146"/>
      <c r="AE20" s="146"/>
      <c r="AF20" s="146"/>
      <c r="AG20" s="146"/>
      <c r="AH20" s="289"/>
    </row>
    <row r="21" spans="1:34" ht="15" customHeight="1" x14ac:dyDescent="0.2">
      <c r="A21" s="30" t="s">
        <v>81</v>
      </c>
      <c r="B21" s="31" t="s">
        <v>82</v>
      </c>
      <c r="C21" s="30" t="s">
        <v>83</v>
      </c>
      <c r="D21" s="124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124"/>
      <c r="U21" s="124"/>
      <c r="V21" s="326"/>
      <c r="W21" s="326"/>
      <c r="X21" s="326"/>
      <c r="Y21" s="326"/>
      <c r="Z21" s="326"/>
      <c r="AA21" s="287"/>
      <c r="AB21" s="287"/>
      <c r="AC21" s="287"/>
      <c r="AD21" s="287"/>
      <c r="AE21" s="287"/>
      <c r="AF21" s="287"/>
      <c r="AG21" s="287"/>
      <c r="AH21" s="287"/>
    </row>
    <row r="22" spans="1:34" ht="14.25" x14ac:dyDescent="0.2">
      <c r="A22" s="151"/>
      <c r="B22" s="145" t="s">
        <v>84</v>
      </c>
      <c r="C22" s="146"/>
      <c r="D22" s="146"/>
      <c r="E22" s="331"/>
      <c r="F22" s="331"/>
      <c r="G22" s="331"/>
      <c r="H22" s="331"/>
      <c r="I22" s="331"/>
      <c r="J22" s="331"/>
      <c r="K22" s="331"/>
      <c r="L22" s="331"/>
      <c r="M22" s="331"/>
      <c r="N22" s="331"/>
      <c r="O22" s="331"/>
      <c r="P22" s="331"/>
      <c r="Q22" s="331"/>
      <c r="R22" s="331"/>
      <c r="S22" s="331"/>
      <c r="T22" s="146"/>
      <c r="U22" s="146"/>
      <c r="V22" s="331"/>
      <c r="W22" s="331"/>
      <c r="X22" s="331"/>
      <c r="Y22" s="331"/>
      <c r="Z22" s="331"/>
      <c r="AA22" s="290"/>
      <c r="AB22" s="290"/>
      <c r="AC22" s="290"/>
      <c r="AD22" s="290"/>
      <c r="AE22" s="290"/>
      <c r="AF22" s="290"/>
      <c r="AG22" s="290"/>
      <c r="AH22" s="174"/>
    </row>
    <row r="23" spans="1:34" ht="15" customHeight="1" x14ac:dyDescent="0.2">
      <c r="A23" s="47" t="s">
        <v>85</v>
      </c>
      <c r="B23" s="48" t="s">
        <v>249</v>
      </c>
      <c r="C23" s="47" t="s">
        <v>86</v>
      </c>
      <c r="D23" s="130"/>
      <c r="E23" s="332"/>
      <c r="F23" s="333"/>
      <c r="G23" s="332"/>
      <c r="H23" s="332"/>
      <c r="I23" s="332"/>
      <c r="J23" s="332"/>
      <c r="K23" s="332"/>
      <c r="L23" s="332"/>
      <c r="M23" s="332"/>
      <c r="N23" s="332"/>
      <c r="O23" s="332"/>
      <c r="P23" s="332"/>
      <c r="Q23" s="332"/>
      <c r="R23" s="332"/>
      <c r="S23" s="332"/>
      <c r="T23" s="130"/>
      <c r="U23" s="130"/>
      <c r="V23" s="332"/>
      <c r="W23" s="332"/>
      <c r="X23" s="332"/>
      <c r="Y23" s="332"/>
      <c r="Z23" s="332"/>
      <c r="AA23" s="282"/>
      <c r="AB23" s="282"/>
      <c r="AC23" s="282"/>
      <c r="AD23" s="282"/>
      <c r="AE23" s="282"/>
      <c r="AF23" s="282"/>
      <c r="AG23" s="282"/>
      <c r="AH23" s="282"/>
    </row>
    <row r="24" spans="1:34" ht="15" customHeight="1" x14ac:dyDescent="0.2">
      <c r="A24" s="28" t="s">
        <v>87</v>
      </c>
      <c r="B24" s="29" t="s">
        <v>88</v>
      </c>
      <c r="C24" s="28" t="s">
        <v>89</v>
      </c>
      <c r="D24" s="12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122"/>
      <c r="U24" s="122"/>
      <c r="V24" s="333"/>
      <c r="W24" s="333"/>
      <c r="X24" s="333"/>
      <c r="Y24" s="333"/>
      <c r="Z24" s="333"/>
      <c r="AA24" s="272"/>
      <c r="AB24" s="272"/>
      <c r="AC24" s="272"/>
      <c r="AD24" s="272"/>
      <c r="AE24" s="272"/>
      <c r="AF24" s="272"/>
      <c r="AG24" s="272"/>
      <c r="AH24" s="272"/>
    </row>
    <row r="25" spans="1:34" ht="14.25" x14ac:dyDescent="0.2">
      <c r="A25" s="151"/>
      <c r="B25" s="145" t="s">
        <v>90</v>
      </c>
      <c r="C25" s="146"/>
      <c r="D25" s="146"/>
      <c r="E25" s="331"/>
      <c r="F25" s="331"/>
      <c r="G25" s="331"/>
      <c r="H25" s="331"/>
      <c r="I25" s="331"/>
      <c r="J25" s="331"/>
      <c r="K25" s="331"/>
      <c r="L25" s="331"/>
      <c r="M25" s="331"/>
      <c r="N25" s="331"/>
      <c r="O25" s="331"/>
      <c r="P25" s="331"/>
      <c r="Q25" s="331"/>
      <c r="R25" s="331"/>
      <c r="S25" s="331"/>
      <c r="T25" s="146"/>
      <c r="U25" s="146"/>
      <c r="V25" s="331"/>
      <c r="W25" s="331"/>
      <c r="X25" s="331"/>
      <c r="Y25" s="331"/>
      <c r="Z25" s="331"/>
      <c r="AA25" s="146"/>
      <c r="AB25" s="146"/>
      <c r="AC25" s="146"/>
      <c r="AD25" s="146"/>
      <c r="AE25" s="146"/>
      <c r="AF25" s="146"/>
      <c r="AG25" s="146"/>
      <c r="AH25" s="146"/>
    </row>
    <row r="26" spans="1:34" ht="15" customHeight="1" x14ac:dyDescent="0.2">
      <c r="A26" s="47" t="s">
        <v>91</v>
      </c>
      <c r="B26" s="48" t="s">
        <v>92</v>
      </c>
      <c r="C26" s="47" t="s">
        <v>93</v>
      </c>
      <c r="D26" s="12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122"/>
      <c r="U26" s="122"/>
      <c r="V26" s="333"/>
      <c r="W26" s="333"/>
      <c r="X26" s="333"/>
      <c r="Y26" s="333"/>
      <c r="Z26" s="333"/>
      <c r="AA26" s="272"/>
      <c r="AB26" s="272"/>
      <c r="AC26" s="272"/>
      <c r="AD26" s="272"/>
      <c r="AE26" s="272"/>
      <c r="AF26" s="272"/>
      <c r="AG26" s="272"/>
      <c r="AH26" s="272"/>
    </row>
    <row r="27" spans="1:34" ht="15" customHeight="1" x14ac:dyDescent="0.2">
      <c r="A27" s="22" t="s">
        <v>94</v>
      </c>
      <c r="B27" s="23" t="s">
        <v>95</v>
      </c>
      <c r="C27" s="22" t="s">
        <v>96</v>
      </c>
      <c r="D27" s="12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122"/>
      <c r="U27" s="122"/>
      <c r="V27" s="333"/>
      <c r="W27" s="333"/>
      <c r="X27" s="333"/>
      <c r="Y27" s="333"/>
      <c r="Z27" s="333"/>
      <c r="AA27" s="272"/>
      <c r="AB27" s="272"/>
      <c r="AC27" s="272"/>
      <c r="AD27" s="272"/>
      <c r="AE27" s="272"/>
      <c r="AF27" s="272"/>
      <c r="AG27" s="272"/>
      <c r="AH27" s="272"/>
    </row>
    <row r="28" spans="1:34" ht="15" customHeight="1" x14ac:dyDescent="0.2">
      <c r="A28" s="22" t="s">
        <v>97</v>
      </c>
      <c r="B28" s="23" t="s">
        <v>98</v>
      </c>
      <c r="C28" s="22" t="s">
        <v>99</v>
      </c>
      <c r="D28" s="12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122"/>
      <c r="U28" s="122"/>
      <c r="V28" s="333"/>
      <c r="W28" s="333"/>
      <c r="X28" s="333"/>
      <c r="Y28" s="333"/>
      <c r="Z28" s="333"/>
      <c r="AA28" s="272"/>
      <c r="AB28" s="272"/>
      <c r="AC28" s="272"/>
      <c r="AD28" s="272"/>
      <c r="AE28" s="272"/>
      <c r="AF28" s="272"/>
      <c r="AG28" s="272"/>
      <c r="AH28" s="272"/>
    </row>
    <row r="29" spans="1:34" ht="15" customHeight="1" x14ac:dyDescent="0.2">
      <c r="A29" s="28" t="s">
        <v>100</v>
      </c>
      <c r="B29" s="29" t="s">
        <v>101</v>
      </c>
      <c r="C29" s="28" t="s">
        <v>102</v>
      </c>
      <c r="D29" s="123"/>
      <c r="E29" s="334"/>
      <c r="F29" s="333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123"/>
      <c r="U29" s="123"/>
      <c r="V29" s="334"/>
      <c r="W29" s="334"/>
      <c r="X29" s="334"/>
      <c r="Y29" s="334"/>
      <c r="Z29" s="334"/>
      <c r="AA29" s="288"/>
      <c r="AB29" s="288"/>
      <c r="AC29" s="288"/>
      <c r="AD29" s="288"/>
      <c r="AE29" s="288"/>
      <c r="AF29" s="288"/>
      <c r="AG29" s="288"/>
      <c r="AH29" s="288"/>
    </row>
    <row r="30" spans="1:34" ht="14.25" x14ac:dyDescent="0.2">
      <c r="A30" s="147"/>
      <c r="B30" s="148" t="s">
        <v>103</v>
      </c>
      <c r="C30" s="149"/>
      <c r="D30" s="149"/>
      <c r="E30" s="335"/>
      <c r="F30" s="335"/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5"/>
      <c r="S30" s="335"/>
      <c r="T30" s="149"/>
      <c r="U30" s="149"/>
      <c r="V30" s="335"/>
      <c r="W30" s="335"/>
      <c r="X30" s="335"/>
      <c r="Y30" s="335"/>
      <c r="Z30" s="335"/>
      <c r="AA30" s="149"/>
      <c r="AB30" s="149"/>
      <c r="AC30" s="149"/>
      <c r="AD30" s="149"/>
      <c r="AE30" s="149"/>
      <c r="AF30" s="149"/>
      <c r="AG30" s="149"/>
      <c r="AH30" s="297"/>
    </row>
    <row r="31" spans="1:34" ht="15" customHeight="1" x14ac:dyDescent="0.2">
      <c r="A31" s="30" t="s">
        <v>104</v>
      </c>
      <c r="B31" s="31" t="s">
        <v>105</v>
      </c>
      <c r="C31" s="30" t="s">
        <v>106</v>
      </c>
      <c r="D31" s="124"/>
      <c r="E31" s="326">
        <v>45627</v>
      </c>
      <c r="F31" s="326">
        <f>DATE(YEAR(E31)+2,MONTH(E31),DAY(E31))</f>
        <v>46357</v>
      </c>
      <c r="G31" s="326"/>
      <c r="H31" s="326"/>
      <c r="I31" s="326"/>
      <c r="J31" s="326"/>
      <c r="K31" s="326"/>
      <c r="L31" s="326"/>
      <c r="M31" s="326"/>
      <c r="N31" s="326"/>
      <c r="O31" s="326"/>
      <c r="P31" s="326"/>
      <c r="Q31" s="326"/>
      <c r="R31" s="326"/>
      <c r="S31" s="326"/>
      <c r="T31" s="124"/>
      <c r="U31" s="124"/>
      <c r="V31" s="326"/>
      <c r="W31" s="326"/>
      <c r="X31" s="326"/>
      <c r="Y31" s="326"/>
      <c r="Z31" s="326"/>
      <c r="AA31" s="287"/>
      <c r="AB31" s="287"/>
      <c r="AC31" s="287"/>
      <c r="AD31" s="287"/>
      <c r="AE31" s="287"/>
      <c r="AF31" s="287"/>
      <c r="AG31" s="287"/>
      <c r="AH31" s="287"/>
    </row>
    <row r="32" spans="1:34" ht="14.25" x14ac:dyDescent="0.2">
      <c r="A32" s="147"/>
      <c r="B32" s="148" t="s">
        <v>107</v>
      </c>
      <c r="C32" s="149"/>
      <c r="D32" s="149"/>
      <c r="E32" s="335"/>
      <c r="F32" s="335"/>
      <c r="G32" s="335"/>
      <c r="H32" s="335"/>
      <c r="I32" s="335"/>
      <c r="J32" s="335"/>
      <c r="K32" s="335"/>
      <c r="L32" s="335"/>
      <c r="M32" s="335"/>
      <c r="N32" s="335"/>
      <c r="O32" s="335"/>
      <c r="P32" s="335"/>
      <c r="Q32" s="335"/>
      <c r="R32" s="335"/>
      <c r="S32" s="335"/>
      <c r="T32" s="149"/>
      <c r="U32" s="149"/>
      <c r="V32" s="335"/>
      <c r="W32" s="335"/>
      <c r="X32" s="335"/>
      <c r="Y32" s="335"/>
      <c r="Z32" s="335"/>
      <c r="AA32" s="149"/>
      <c r="AB32" s="149"/>
      <c r="AC32" s="149"/>
      <c r="AD32" s="149"/>
      <c r="AE32" s="149"/>
      <c r="AF32" s="149"/>
      <c r="AG32" s="149"/>
      <c r="AH32" s="297"/>
    </row>
    <row r="33" spans="1:34" ht="15" customHeight="1" x14ac:dyDescent="0.2">
      <c r="A33" s="47" t="s">
        <v>108</v>
      </c>
      <c r="B33" s="48" t="s">
        <v>109</v>
      </c>
      <c r="C33" s="47" t="s">
        <v>110</v>
      </c>
      <c r="D33" s="130">
        <v>30758</v>
      </c>
      <c r="E33" s="332">
        <v>45627</v>
      </c>
      <c r="F33" s="333">
        <f t="shared" ref="F33:F80" si="0">DATE(YEAR(E33)+2,MONTH(E33),DAY(E33))</f>
        <v>46357</v>
      </c>
      <c r="G33" s="332"/>
      <c r="H33" s="332"/>
      <c r="I33" s="332"/>
      <c r="J33" s="332"/>
      <c r="K33" s="332"/>
      <c r="L33" s="332"/>
      <c r="M33" s="332"/>
      <c r="N33" s="332"/>
      <c r="O33" s="332"/>
      <c r="P33" s="332"/>
      <c r="Q33" s="332"/>
      <c r="R33" s="332"/>
      <c r="S33" s="332"/>
      <c r="T33" s="130"/>
      <c r="U33" s="130"/>
      <c r="V33" s="332"/>
      <c r="W33" s="332"/>
      <c r="X33" s="332"/>
      <c r="Y33" s="332"/>
      <c r="Z33" s="332"/>
      <c r="AA33" s="282"/>
      <c r="AB33" s="282"/>
      <c r="AC33" s="282"/>
      <c r="AD33" s="282"/>
      <c r="AE33" s="282"/>
      <c r="AF33" s="282"/>
      <c r="AG33" s="282"/>
      <c r="AH33" s="282"/>
    </row>
    <row r="34" spans="1:34" ht="15" customHeight="1" x14ac:dyDescent="0.2">
      <c r="A34" s="28" t="s">
        <v>111</v>
      </c>
      <c r="B34" s="29" t="s">
        <v>112</v>
      </c>
      <c r="C34" s="28" t="s">
        <v>113</v>
      </c>
      <c r="D34" s="123">
        <v>31285</v>
      </c>
      <c r="E34" s="334">
        <v>45413</v>
      </c>
      <c r="F34" s="333">
        <f t="shared" si="0"/>
        <v>46143</v>
      </c>
      <c r="G34" s="334"/>
      <c r="H34" s="334"/>
      <c r="I34" s="334"/>
      <c r="J34" s="334"/>
      <c r="K34" s="334"/>
      <c r="L34" s="334"/>
      <c r="M34" s="334"/>
      <c r="N34" s="334"/>
      <c r="O34" s="334"/>
      <c r="P34" s="334"/>
      <c r="Q34" s="334"/>
      <c r="R34" s="334"/>
      <c r="S34" s="334"/>
      <c r="T34" s="123"/>
      <c r="U34" s="123"/>
      <c r="V34" s="334"/>
      <c r="W34" s="334"/>
      <c r="X34" s="334"/>
      <c r="Y34" s="334"/>
      <c r="Z34" s="334"/>
      <c r="AA34" s="288"/>
      <c r="AB34" s="288"/>
      <c r="AC34" s="288"/>
      <c r="AD34" s="288"/>
      <c r="AE34" s="288"/>
      <c r="AF34" s="288"/>
      <c r="AG34" s="288"/>
      <c r="AH34" s="288"/>
    </row>
    <row r="35" spans="1:34" ht="14.25" x14ac:dyDescent="0.2">
      <c r="A35" s="147"/>
      <c r="B35" s="148" t="s">
        <v>114</v>
      </c>
      <c r="C35" s="149"/>
      <c r="D35" s="149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  <c r="S35" s="335"/>
      <c r="T35" s="149"/>
      <c r="U35" s="149"/>
      <c r="V35" s="335"/>
      <c r="W35" s="335"/>
      <c r="X35" s="335"/>
      <c r="Y35" s="335"/>
      <c r="Z35" s="335"/>
      <c r="AA35" s="149"/>
      <c r="AB35" s="149"/>
      <c r="AC35" s="149"/>
      <c r="AD35" s="149"/>
      <c r="AE35" s="149"/>
      <c r="AF35" s="149"/>
      <c r="AG35" s="149"/>
      <c r="AH35" s="297"/>
    </row>
    <row r="36" spans="1:34" ht="15" customHeight="1" x14ac:dyDescent="0.2">
      <c r="A36" s="30" t="s">
        <v>115</v>
      </c>
      <c r="B36" s="31" t="s">
        <v>116</v>
      </c>
      <c r="C36" s="30" t="s">
        <v>117</v>
      </c>
      <c r="D36" s="124"/>
      <c r="E36" s="326">
        <v>45383</v>
      </c>
      <c r="F36" s="326">
        <f t="shared" si="0"/>
        <v>46113</v>
      </c>
      <c r="G36" s="326">
        <v>47178</v>
      </c>
      <c r="H36" s="352"/>
      <c r="I36" s="326"/>
      <c r="J36" s="326">
        <v>47178</v>
      </c>
      <c r="K36" s="326"/>
      <c r="L36" s="326"/>
      <c r="M36" s="326"/>
      <c r="N36" s="326"/>
      <c r="O36" s="326"/>
      <c r="P36" s="326"/>
      <c r="Q36" s="326"/>
      <c r="R36" s="326"/>
      <c r="S36" s="326"/>
      <c r="T36" s="124"/>
      <c r="U36" s="124"/>
      <c r="V36" s="326"/>
      <c r="W36" s="326"/>
      <c r="X36" s="326"/>
      <c r="Y36" s="326"/>
      <c r="Z36" s="326"/>
      <c r="AA36" s="287"/>
      <c r="AB36" s="287"/>
      <c r="AC36" s="287"/>
      <c r="AD36" s="287"/>
      <c r="AE36" s="287"/>
      <c r="AF36" s="287"/>
      <c r="AG36" s="287"/>
      <c r="AH36" s="287"/>
    </row>
    <row r="37" spans="1:34" ht="14.25" x14ac:dyDescent="0.2">
      <c r="A37" s="133"/>
      <c r="B37" s="134" t="s">
        <v>118</v>
      </c>
      <c r="C37" s="135"/>
      <c r="D37" s="135"/>
      <c r="E37" s="336"/>
      <c r="F37" s="336"/>
      <c r="G37" s="336"/>
      <c r="H37" s="336"/>
      <c r="I37" s="336"/>
      <c r="J37" s="336"/>
      <c r="K37" s="336"/>
      <c r="L37" s="336"/>
      <c r="M37" s="336"/>
      <c r="N37" s="336"/>
      <c r="O37" s="336"/>
      <c r="P37" s="336"/>
      <c r="Q37" s="336"/>
      <c r="R37" s="336"/>
      <c r="S37" s="336"/>
      <c r="T37" s="135"/>
      <c r="U37" s="135"/>
      <c r="V37" s="336"/>
      <c r="W37" s="336"/>
      <c r="X37" s="336"/>
      <c r="Y37" s="336"/>
      <c r="Z37" s="336"/>
      <c r="AA37" s="135"/>
      <c r="AB37" s="135"/>
      <c r="AC37" s="135"/>
      <c r="AD37" s="135"/>
      <c r="AE37" s="135"/>
      <c r="AF37" s="135"/>
      <c r="AG37" s="135"/>
      <c r="AH37" s="177"/>
    </row>
    <row r="38" spans="1:34" ht="14.25" x14ac:dyDescent="0.2">
      <c r="A38" s="137"/>
      <c r="B38" s="138" t="s">
        <v>119</v>
      </c>
      <c r="C38" s="139"/>
      <c r="D38" s="139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37"/>
      <c r="P38" s="337"/>
      <c r="Q38" s="337"/>
      <c r="R38" s="337"/>
      <c r="S38" s="337"/>
      <c r="T38" s="139"/>
      <c r="U38" s="139"/>
      <c r="V38" s="337"/>
      <c r="W38" s="337"/>
      <c r="X38" s="337"/>
      <c r="Y38" s="337"/>
      <c r="Z38" s="337"/>
      <c r="AA38" s="139"/>
      <c r="AB38" s="139"/>
      <c r="AC38" s="139"/>
      <c r="AD38" s="139"/>
      <c r="AE38" s="139"/>
      <c r="AF38" s="139"/>
      <c r="AG38" s="139"/>
      <c r="AH38" s="176"/>
    </row>
    <row r="39" spans="1:34" ht="15" customHeight="1" x14ac:dyDescent="0.2">
      <c r="A39" s="30" t="s">
        <v>120</v>
      </c>
      <c r="B39" s="31" t="s">
        <v>121</v>
      </c>
      <c r="C39" s="30" t="s">
        <v>122</v>
      </c>
      <c r="D39" s="124"/>
      <c r="E39" s="326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124"/>
      <c r="U39" s="124"/>
      <c r="V39" s="326"/>
      <c r="W39" s="326"/>
      <c r="X39" s="326"/>
      <c r="Y39" s="326"/>
      <c r="Z39" s="326"/>
      <c r="AA39" s="287"/>
      <c r="AB39" s="287"/>
      <c r="AC39" s="287"/>
      <c r="AD39" s="287"/>
      <c r="AE39" s="287"/>
      <c r="AF39" s="287"/>
      <c r="AG39" s="287"/>
      <c r="AH39" s="287"/>
    </row>
    <row r="40" spans="1:34" ht="14.25" x14ac:dyDescent="0.2">
      <c r="A40" s="141"/>
      <c r="B40" s="142" t="s">
        <v>123</v>
      </c>
      <c r="C40" s="143"/>
      <c r="D40" s="143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143"/>
      <c r="U40" s="143"/>
      <c r="V40" s="338"/>
      <c r="W40" s="338"/>
      <c r="X40" s="338"/>
      <c r="Y40" s="338"/>
      <c r="Z40" s="338"/>
      <c r="AA40" s="143"/>
      <c r="AB40" s="143"/>
      <c r="AC40" s="143"/>
      <c r="AD40" s="143"/>
      <c r="AE40" s="143"/>
      <c r="AF40" s="143"/>
      <c r="AG40" s="143"/>
      <c r="AH40" s="175"/>
    </row>
    <row r="41" spans="1:34" ht="15" customHeight="1" x14ac:dyDescent="0.2">
      <c r="A41" s="30" t="s">
        <v>124</v>
      </c>
      <c r="B41" s="31" t="s">
        <v>125</v>
      </c>
      <c r="C41" s="30" t="s">
        <v>126</v>
      </c>
      <c r="D41" s="124"/>
      <c r="E41" s="326"/>
      <c r="F41" s="326"/>
      <c r="G41" s="326"/>
      <c r="H41" s="326"/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124"/>
      <c r="U41" s="124"/>
      <c r="V41" s="326"/>
      <c r="W41" s="326"/>
      <c r="X41" s="326"/>
      <c r="Y41" s="326"/>
      <c r="Z41" s="326"/>
      <c r="AA41" s="287"/>
      <c r="AB41" s="287"/>
      <c r="AC41" s="287"/>
      <c r="AD41" s="287"/>
      <c r="AE41" s="287"/>
      <c r="AF41" s="287"/>
      <c r="AG41" s="287"/>
      <c r="AH41" s="287"/>
    </row>
    <row r="42" spans="1:34" ht="14.25" x14ac:dyDescent="0.2">
      <c r="A42" s="141"/>
      <c r="B42" s="142" t="s">
        <v>127</v>
      </c>
      <c r="C42" s="143"/>
      <c r="D42" s="143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143"/>
      <c r="U42" s="143"/>
      <c r="V42" s="338"/>
      <c r="W42" s="338"/>
      <c r="X42" s="338"/>
      <c r="Y42" s="338"/>
      <c r="Z42" s="338"/>
      <c r="AA42" s="143"/>
      <c r="AB42" s="143"/>
      <c r="AC42" s="143"/>
      <c r="AD42" s="143"/>
      <c r="AE42" s="143"/>
      <c r="AF42" s="143"/>
      <c r="AG42" s="143"/>
      <c r="AH42" s="175"/>
    </row>
    <row r="43" spans="1:34" ht="15" customHeight="1" x14ac:dyDescent="0.2">
      <c r="A43" s="47" t="s">
        <v>128</v>
      </c>
      <c r="B43" s="48" t="s">
        <v>129</v>
      </c>
      <c r="C43" s="47" t="s">
        <v>130</v>
      </c>
      <c r="D43" s="130"/>
      <c r="E43" s="332"/>
      <c r="F43" s="333"/>
      <c r="G43" s="332"/>
      <c r="H43" s="332"/>
      <c r="I43" s="332"/>
      <c r="J43" s="332"/>
      <c r="K43" s="332"/>
      <c r="L43" s="332"/>
      <c r="M43" s="332"/>
      <c r="N43" s="332"/>
      <c r="O43" s="332"/>
      <c r="P43" s="332"/>
      <c r="Q43" s="332"/>
      <c r="R43" s="332"/>
      <c r="S43" s="332"/>
      <c r="T43" s="130"/>
      <c r="U43" s="130"/>
      <c r="V43" s="332"/>
      <c r="W43" s="332"/>
      <c r="X43" s="332"/>
      <c r="Y43" s="332"/>
      <c r="Z43" s="332"/>
      <c r="AA43" s="282"/>
      <c r="AB43" s="282"/>
      <c r="AC43" s="282"/>
      <c r="AD43" s="282"/>
      <c r="AE43" s="282"/>
      <c r="AF43" s="282"/>
      <c r="AG43" s="282"/>
      <c r="AH43" s="282"/>
    </row>
    <row r="44" spans="1:34" ht="15" customHeight="1" x14ac:dyDescent="0.2">
      <c r="A44" s="28" t="s">
        <v>131</v>
      </c>
      <c r="B44" s="29" t="s">
        <v>132</v>
      </c>
      <c r="C44" s="28" t="s">
        <v>133</v>
      </c>
      <c r="D44" s="123"/>
      <c r="E44" s="334"/>
      <c r="F44" s="333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4"/>
      <c r="R44" s="334"/>
      <c r="S44" s="334"/>
      <c r="T44" s="123"/>
      <c r="U44" s="123"/>
      <c r="V44" s="334"/>
      <c r="W44" s="334"/>
      <c r="X44" s="334"/>
      <c r="Y44" s="334"/>
      <c r="Z44" s="334"/>
      <c r="AA44" s="288"/>
      <c r="AB44" s="288"/>
      <c r="AC44" s="288"/>
      <c r="AD44" s="288"/>
      <c r="AE44" s="288"/>
      <c r="AF44" s="288"/>
      <c r="AG44" s="288"/>
      <c r="AH44" s="288"/>
    </row>
    <row r="45" spans="1:34" ht="14.25" x14ac:dyDescent="0.2">
      <c r="A45" s="141"/>
      <c r="B45" s="142" t="s">
        <v>134</v>
      </c>
      <c r="C45" s="143"/>
      <c r="D45" s="143"/>
      <c r="E45" s="338"/>
      <c r="F45" s="337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143"/>
      <c r="U45" s="143"/>
      <c r="V45" s="338"/>
      <c r="W45" s="338"/>
      <c r="X45" s="338"/>
      <c r="Y45" s="338"/>
      <c r="Z45" s="338"/>
      <c r="AA45" s="143"/>
      <c r="AB45" s="143"/>
      <c r="AC45" s="143"/>
      <c r="AD45" s="143"/>
      <c r="AE45" s="143"/>
      <c r="AF45" s="143"/>
      <c r="AG45" s="143"/>
      <c r="AH45" s="175"/>
    </row>
    <row r="46" spans="1:34" ht="15" customHeight="1" x14ac:dyDescent="0.2">
      <c r="A46" s="47" t="s">
        <v>135</v>
      </c>
      <c r="B46" s="48" t="s">
        <v>136</v>
      </c>
      <c r="C46" s="47" t="s">
        <v>137</v>
      </c>
      <c r="D46" s="130"/>
      <c r="E46" s="332"/>
      <c r="F46" s="333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130"/>
      <c r="U46" s="130"/>
      <c r="V46" s="332"/>
      <c r="W46" s="332"/>
      <c r="X46" s="332"/>
      <c r="Y46" s="332"/>
      <c r="Z46" s="332"/>
      <c r="AA46" s="282"/>
      <c r="AB46" s="282"/>
      <c r="AC46" s="282"/>
      <c r="AD46" s="282"/>
      <c r="AE46" s="282"/>
      <c r="AF46" s="282"/>
      <c r="AG46" s="282"/>
      <c r="AH46" s="282"/>
    </row>
    <row r="47" spans="1:34" ht="15" customHeight="1" x14ac:dyDescent="0.2">
      <c r="A47" s="28" t="s">
        <v>138</v>
      </c>
      <c r="B47" s="29" t="s">
        <v>139</v>
      </c>
      <c r="C47" s="28" t="s">
        <v>140</v>
      </c>
      <c r="D47" s="123"/>
      <c r="E47" s="334"/>
      <c r="F47" s="333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4"/>
      <c r="T47" s="123"/>
      <c r="U47" s="123"/>
      <c r="V47" s="334"/>
      <c r="W47" s="334"/>
      <c r="X47" s="334"/>
      <c r="Y47" s="334"/>
      <c r="Z47" s="334"/>
      <c r="AA47" s="288"/>
      <c r="AB47" s="288"/>
      <c r="AC47" s="288"/>
      <c r="AD47" s="288"/>
      <c r="AE47" s="288"/>
      <c r="AF47" s="288"/>
      <c r="AG47" s="288"/>
      <c r="AH47" s="288"/>
    </row>
    <row r="48" spans="1:34" ht="15" customHeight="1" x14ac:dyDescent="0.2">
      <c r="A48" s="163"/>
      <c r="B48" s="164" t="s">
        <v>141</v>
      </c>
      <c r="C48" s="165"/>
      <c r="D48" s="166"/>
      <c r="E48" s="339"/>
      <c r="F48" s="350"/>
      <c r="G48" s="339"/>
      <c r="H48" s="339"/>
      <c r="I48" s="339"/>
      <c r="J48" s="339"/>
      <c r="K48" s="339"/>
      <c r="L48" s="339"/>
      <c r="M48" s="339"/>
      <c r="N48" s="339"/>
      <c r="O48" s="339"/>
      <c r="P48" s="339"/>
      <c r="Q48" s="353"/>
      <c r="R48" s="353"/>
      <c r="S48" s="353"/>
      <c r="T48" s="167"/>
      <c r="U48" s="167"/>
      <c r="V48" s="353"/>
      <c r="W48" s="353"/>
      <c r="X48" s="353"/>
      <c r="Y48" s="353"/>
      <c r="Z48" s="353"/>
      <c r="AA48" s="167"/>
      <c r="AB48" s="167"/>
      <c r="AC48" s="167"/>
      <c r="AD48" s="167"/>
      <c r="AE48" s="167"/>
      <c r="AF48" s="167"/>
      <c r="AG48" s="167"/>
      <c r="AH48" s="168"/>
    </row>
    <row r="49" spans="1:34" ht="14.25" x14ac:dyDescent="0.2">
      <c r="A49" s="303"/>
      <c r="B49" s="304" t="s">
        <v>142</v>
      </c>
      <c r="C49" s="305"/>
      <c r="D49" s="306"/>
      <c r="E49" s="340"/>
      <c r="F49" s="340"/>
      <c r="G49" s="340"/>
      <c r="H49" s="340"/>
      <c r="I49" s="340"/>
      <c r="J49" s="340"/>
      <c r="K49" s="340"/>
      <c r="L49" s="340"/>
      <c r="M49" s="340"/>
      <c r="N49" s="340"/>
      <c r="O49" s="340"/>
      <c r="P49" s="340"/>
      <c r="Q49" s="340"/>
      <c r="R49" s="340"/>
      <c r="S49" s="340"/>
      <c r="T49" s="306"/>
      <c r="U49" s="306"/>
      <c r="V49" s="340"/>
      <c r="W49" s="340"/>
      <c r="X49" s="340"/>
      <c r="Y49" s="340"/>
      <c r="Z49" s="340"/>
      <c r="AA49" s="306"/>
      <c r="AB49" s="306"/>
      <c r="AC49" s="306"/>
      <c r="AD49" s="306"/>
      <c r="AE49" s="306"/>
      <c r="AF49" s="306"/>
      <c r="AG49" s="306"/>
      <c r="AH49" s="307"/>
    </row>
    <row r="50" spans="1:34" ht="15" customHeight="1" x14ac:dyDescent="0.2">
      <c r="A50" s="291" t="s">
        <v>143</v>
      </c>
      <c r="B50" s="292" t="s">
        <v>144</v>
      </c>
      <c r="C50" s="291" t="s">
        <v>145</v>
      </c>
      <c r="D50" s="293"/>
      <c r="E50" s="341"/>
      <c r="F50" s="342"/>
      <c r="G50" s="341"/>
      <c r="H50" s="341"/>
      <c r="I50" s="341"/>
      <c r="J50" s="341"/>
      <c r="K50" s="341"/>
      <c r="L50" s="341"/>
      <c r="M50" s="341"/>
      <c r="N50" s="341"/>
      <c r="O50" s="341"/>
      <c r="P50" s="341"/>
      <c r="Q50" s="341"/>
      <c r="R50" s="341"/>
      <c r="S50" s="341"/>
      <c r="T50" s="293"/>
      <c r="U50" s="293"/>
      <c r="V50" s="341"/>
      <c r="W50" s="341"/>
      <c r="X50" s="341"/>
      <c r="Y50" s="341"/>
      <c r="Z50" s="341"/>
      <c r="AA50" s="293"/>
      <c r="AB50" s="293"/>
      <c r="AC50" s="293"/>
      <c r="AD50" s="293"/>
      <c r="AE50" s="293"/>
      <c r="AF50" s="293"/>
      <c r="AG50" s="293"/>
      <c r="AH50" s="293"/>
    </row>
    <row r="51" spans="1:34" ht="15" customHeight="1" x14ac:dyDescent="0.2">
      <c r="A51" s="22" t="s">
        <v>146</v>
      </c>
      <c r="B51" s="23" t="s">
        <v>147</v>
      </c>
      <c r="C51" s="22" t="s">
        <v>148</v>
      </c>
      <c r="D51" s="122"/>
      <c r="E51" s="333">
        <v>45536</v>
      </c>
      <c r="F51" s="333">
        <f t="shared" si="0"/>
        <v>46266</v>
      </c>
      <c r="G51" s="333">
        <v>48305</v>
      </c>
      <c r="H51" s="333"/>
      <c r="I51" s="333"/>
      <c r="J51" s="333">
        <v>47757</v>
      </c>
      <c r="K51" s="333"/>
      <c r="L51" s="333"/>
      <c r="M51" s="333"/>
      <c r="N51" s="333"/>
      <c r="O51" s="333"/>
      <c r="P51" s="333"/>
      <c r="Q51" s="333">
        <v>45170</v>
      </c>
      <c r="R51" s="333"/>
      <c r="S51" s="333"/>
      <c r="T51" s="122" t="s">
        <v>250</v>
      </c>
      <c r="U51" s="122" t="s">
        <v>250</v>
      </c>
      <c r="V51" s="333">
        <v>46447</v>
      </c>
      <c r="W51" s="333"/>
      <c r="X51" s="333"/>
      <c r="Y51" s="333">
        <v>46478</v>
      </c>
      <c r="Z51" s="333"/>
      <c r="AA51" s="272" t="s">
        <v>149</v>
      </c>
      <c r="AB51" s="272"/>
      <c r="AC51" s="272"/>
      <c r="AD51" s="272"/>
      <c r="AE51" s="272" t="s">
        <v>149</v>
      </c>
      <c r="AF51" s="272" t="s">
        <v>149</v>
      </c>
      <c r="AG51" s="272"/>
      <c r="AH51" s="272"/>
    </row>
    <row r="52" spans="1:34" ht="15" customHeight="1" x14ac:dyDescent="0.2">
      <c r="A52" s="37" t="s">
        <v>150</v>
      </c>
      <c r="B52" s="38" t="s">
        <v>247</v>
      </c>
      <c r="C52" s="37" t="s">
        <v>151</v>
      </c>
      <c r="D52" s="126"/>
      <c r="E52" s="342">
        <v>45413</v>
      </c>
      <c r="F52" s="342">
        <f t="shared" si="0"/>
        <v>46143</v>
      </c>
      <c r="G52" s="342">
        <v>46905</v>
      </c>
      <c r="H52" s="342"/>
      <c r="I52" s="342"/>
      <c r="J52" s="342">
        <v>49188</v>
      </c>
      <c r="K52" s="342"/>
      <c r="L52" s="342"/>
      <c r="M52" s="342">
        <v>46722</v>
      </c>
      <c r="N52" s="342">
        <v>49188</v>
      </c>
      <c r="O52" s="342"/>
      <c r="P52" s="342"/>
      <c r="Q52" s="342">
        <v>47543</v>
      </c>
      <c r="R52" s="342"/>
      <c r="S52" s="342"/>
      <c r="T52" s="126" t="s">
        <v>250</v>
      </c>
      <c r="U52" s="126" t="s">
        <v>250</v>
      </c>
      <c r="V52" s="342">
        <v>46082</v>
      </c>
      <c r="W52" s="342" t="s">
        <v>250</v>
      </c>
      <c r="X52" s="342">
        <v>46753</v>
      </c>
      <c r="Y52" s="342">
        <v>46419</v>
      </c>
      <c r="Z52" s="342"/>
      <c r="AA52" s="126" t="s">
        <v>149</v>
      </c>
      <c r="AB52" s="126"/>
      <c r="AC52" s="126"/>
      <c r="AD52" s="126" t="s">
        <v>149</v>
      </c>
      <c r="AE52" s="126"/>
      <c r="AF52" s="126"/>
      <c r="AG52" s="126" t="s">
        <v>149</v>
      </c>
      <c r="AH52" s="126"/>
    </row>
    <row r="53" spans="1:34" ht="15" customHeight="1" x14ac:dyDescent="0.2">
      <c r="A53" s="22" t="s">
        <v>152</v>
      </c>
      <c r="B53" s="23" t="s">
        <v>153</v>
      </c>
      <c r="C53" s="22" t="s">
        <v>154</v>
      </c>
      <c r="D53" s="122"/>
      <c r="E53" s="333">
        <v>45383</v>
      </c>
      <c r="F53" s="333">
        <f t="shared" si="0"/>
        <v>46113</v>
      </c>
      <c r="G53" s="333"/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122" t="s">
        <v>250</v>
      </c>
      <c r="U53" s="122"/>
      <c r="V53" s="333"/>
      <c r="W53" s="333"/>
      <c r="X53" s="333"/>
      <c r="Y53" s="333"/>
      <c r="Z53" s="333"/>
      <c r="AA53" s="272"/>
      <c r="AB53" s="272"/>
      <c r="AC53" s="272" t="s">
        <v>149</v>
      </c>
      <c r="AD53" s="272" t="s">
        <v>149</v>
      </c>
      <c r="AE53" s="272"/>
      <c r="AF53" s="272"/>
      <c r="AG53" s="272" t="s">
        <v>149</v>
      </c>
      <c r="AH53" s="272"/>
    </row>
    <row r="54" spans="1:34" ht="15" customHeight="1" x14ac:dyDescent="0.2">
      <c r="A54" s="37" t="s">
        <v>155</v>
      </c>
      <c r="B54" s="38" t="s">
        <v>156</v>
      </c>
      <c r="C54" s="37" t="s">
        <v>157</v>
      </c>
      <c r="D54" s="126"/>
      <c r="E54" s="342">
        <v>45778</v>
      </c>
      <c r="F54" s="342">
        <f t="shared" si="0"/>
        <v>46508</v>
      </c>
      <c r="G54" s="342">
        <v>47209</v>
      </c>
      <c r="H54" s="342"/>
      <c r="I54" s="342"/>
      <c r="J54" s="342">
        <v>47209</v>
      </c>
      <c r="K54" s="342"/>
      <c r="L54" s="342"/>
      <c r="M54" s="342"/>
      <c r="N54" s="342">
        <v>47209</v>
      </c>
      <c r="O54" s="342"/>
      <c r="P54" s="342"/>
      <c r="Q54" s="342">
        <v>47635</v>
      </c>
      <c r="R54" s="342"/>
      <c r="S54" s="342"/>
      <c r="T54" s="126" t="s">
        <v>250</v>
      </c>
      <c r="U54" s="126"/>
      <c r="V54" s="342"/>
      <c r="W54" s="342"/>
      <c r="X54" s="342"/>
      <c r="Y54" s="342">
        <v>47604</v>
      </c>
      <c r="Z54" s="342"/>
      <c r="AA54" s="126"/>
      <c r="AB54" s="126" t="s">
        <v>149</v>
      </c>
      <c r="AC54" s="126"/>
      <c r="AD54" s="126" t="s">
        <v>149</v>
      </c>
      <c r="AE54" s="126" t="s">
        <v>149</v>
      </c>
      <c r="AF54" s="126" t="s">
        <v>149</v>
      </c>
      <c r="AG54" s="126"/>
      <c r="AH54" s="126"/>
    </row>
    <row r="55" spans="1:34" ht="15" customHeight="1" x14ac:dyDescent="0.2">
      <c r="A55" s="22" t="s">
        <v>158</v>
      </c>
      <c r="B55" s="23" t="s">
        <v>159</v>
      </c>
      <c r="C55" s="22" t="s">
        <v>160</v>
      </c>
      <c r="D55" s="122"/>
      <c r="E55" s="333">
        <v>45413</v>
      </c>
      <c r="F55" s="333">
        <f t="shared" si="0"/>
        <v>46143</v>
      </c>
      <c r="G55" s="333"/>
      <c r="H55" s="333"/>
      <c r="I55" s="333"/>
      <c r="J55" s="333"/>
      <c r="K55" s="333"/>
      <c r="L55" s="333"/>
      <c r="M55" s="333"/>
      <c r="N55" s="333"/>
      <c r="O55" s="333"/>
      <c r="P55" s="333"/>
      <c r="Q55" s="333"/>
      <c r="R55" s="333"/>
      <c r="S55" s="333"/>
      <c r="T55" s="122"/>
      <c r="U55" s="122"/>
      <c r="V55" s="333">
        <v>47484</v>
      </c>
      <c r="W55" s="333" t="s">
        <v>250</v>
      </c>
      <c r="X55" s="333"/>
      <c r="Y55" s="333"/>
      <c r="Z55" s="333"/>
      <c r="AA55" s="272" t="s">
        <v>149</v>
      </c>
      <c r="AB55" s="272"/>
      <c r="AC55" s="272"/>
      <c r="AD55" s="272"/>
      <c r="AE55" s="272"/>
      <c r="AF55" s="272"/>
      <c r="AG55" s="272"/>
      <c r="AH55" s="272"/>
    </row>
    <row r="56" spans="1:34" ht="15" customHeight="1" x14ac:dyDescent="0.2">
      <c r="A56" s="37" t="s">
        <v>161</v>
      </c>
      <c r="B56" s="38" t="s">
        <v>162</v>
      </c>
      <c r="C56" s="37" t="s">
        <v>163</v>
      </c>
      <c r="D56" s="126"/>
      <c r="E56" s="342"/>
      <c r="F56" s="342"/>
      <c r="G56" s="342"/>
      <c r="H56" s="342"/>
      <c r="I56" s="342"/>
      <c r="J56" s="342"/>
      <c r="K56" s="342"/>
      <c r="L56" s="342"/>
      <c r="M56" s="342"/>
      <c r="N56" s="342"/>
      <c r="O56" s="342"/>
      <c r="P56" s="342"/>
      <c r="Q56" s="342"/>
      <c r="R56" s="342"/>
      <c r="S56" s="342"/>
      <c r="T56" s="126"/>
      <c r="U56" s="126"/>
      <c r="V56" s="342"/>
      <c r="W56" s="342"/>
      <c r="X56" s="342"/>
      <c r="Y56" s="342"/>
      <c r="Z56" s="342"/>
      <c r="AA56" s="126"/>
      <c r="AB56" s="126"/>
      <c r="AC56" s="126"/>
      <c r="AD56" s="126"/>
      <c r="AE56" s="126"/>
      <c r="AF56" s="126"/>
      <c r="AG56" s="126"/>
      <c r="AH56" s="126"/>
    </row>
    <row r="57" spans="1:34" ht="15" customHeight="1" x14ac:dyDescent="0.2">
      <c r="A57" s="22" t="s">
        <v>164</v>
      </c>
      <c r="B57" s="23" t="s">
        <v>165</v>
      </c>
      <c r="C57" s="22" t="s">
        <v>166</v>
      </c>
      <c r="D57" s="122"/>
      <c r="E57" s="333">
        <v>45778</v>
      </c>
      <c r="F57" s="333">
        <f t="shared" si="0"/>
        <v>46508</v>
      </c>
      <c r="G57" s="333"/>
      <c r="H57" s="333"/>
      <c r="I57" s="333"/>
      <c r="J57" s="333">
        <v>48245</v>
      </c>
      <c r="K57" s="333"/>
      <c r="L57" s="333"/>
      <c r="M57" s="333"/>
      <c r="N57" s="333">
        <v>48245</v>
      </c>
      <c r="O57" s="333"/>
      <c r="P57" s="333"/>
      <c r="Q57" s="333">
        <v>47635</v>
      </c>
      <c r="R57" s="333"/>
      <c r="S57" s="333"/>
      <c r="T57" s="122" t="s">
        <v>250</v>
      </c>
      <c r="U57" s="122"/>
      <c r="V57" s="333"/>
      <c r="W57" s="333"/>
      <c r="X57" s="333"/>
      <c r="Y57" s="333">
        <v>47604</v>
      </c>
      <c r="Z57" s="333"/>
      <c r="AA57" s="272"/>
      <c r="AB57" s="272" t="s">
        <v>149</v>
      </c>
      <c r="AC57" s="272"/>
      <c r="AD57" s="272" t="s">
        <v>149</v>
      </c>
      <c r="AE57" s="272"/>
      <c r="AF57" s="272" t="s">
        <v>149</v>
      </c>
      <c r="AG57" s="272"/>
      <c r="AH57" s="272"/>
    </row>
    <row r="58" spans="1:34" ht="15" customHeight="1" x14ac:dyDescent="0.2">
      <c r="A58" s="37" t="s">
        <v>167</v>
      </c>
      <c r="B58" s="38" t="s">
        <v>168</v>
      </c>
      <c r="C58" s="37" t="s">
        <v>169</v>
      </c>
      <c r="D58" s="126"/>
      <c r="E58" s="342">
        <v>45778</v>
      </c>
      <c r="F58" s="342">
        <f t="shared" si="0"/>
        <v>46508</v>
      </c>
      <c r="G58" s="342">
        <v>47150</v>
      </c>
      <c r="H58" s="342"/>
      <c r="I58" s="342"/>
      <c r="J58" s="342">
        <v>47270</v>
      </c>
      <c r="K58" s="342"/>
      <c r="L58" s="342"/>
      <c r="M58" s="342"/>
      <c r="N58" s="342">
        <v>47150</v>
      </c>
      <c r="O58" s="342"/>
      <c r="P58" s="342"/>
      <c r="Q58" s="342">
        <v>45689</v>
      </c>
      <c r="R58" s="342"/>
      <c r="S58" s="342"/>
      <c r="T58" s="126" t="s">
        <v>250</v>
      </c>
      <c r="U58" s="126"/>
      <c r="V58" s="342"/>
      <c r="W58" s="342"/>
      <c r="X58" s="342"/>
      <c r="Y58" s="342"/>
      <c r="Z58" s="342"/>
      <c r="AA58" s="126"/>
      <c r="AB58" s="126" t="s">
        <v>149</v>
      </c>
      <c r="AC58" s="126"/>
      <c r="AD58" s="126" t="s">
        <v>149</v>
      </c>
      <c r="AE58" s="126" t="s">
        <v>149</v>
      </c>
      <c r="AF58" s="126"/>
      <c r="AG58" s="126"/>
      <c r="AH58" s="126"/>
    </row>
    <row r="59" spans="1:34" ht="15" customHeight="1" x14ac:dyDescent="0.2">
      <c r="A59" s="28" t="s">
        <v>170</v>
      </c>
      <c r="B59" s="29" t="s">
        <v>171</v>
      </c>
      <c r="C59" s="28" t="s">
        <v>172</v>
      </c>
      <c r="D59" s="123"/>
      <c r="E59" s="334"/>
      <c r="F59" s="333"/>
      <c r="G59" s="334"/>
      <c r="H59" s="334"/>
      <c r="I59" s="334"/>
      <c r="J59" s="334"/>
      <c r="K59" s="334"/>
      <c r="L59" s="334"/>
      <c r="M59" s="334"/>
      <c r="N59" s="334"/>
      <c r="O59" s="334"/>
      <c r="P59" s="334"/>
      <c r="Q59" s="334"/>
      <c r="R59" s="334"/>
      <c r="S59" s="334"/>
      <c r="T59" s="123"/>
      <c r="U59" s="123"/>
      <c r="V59" s="334"/>
      <c r="W59" s="334"/>
      <c r="X59" s="334"/>
      <c r="Y59" s="334"/>
      <c r="Z59" s="334"/>
      <c r="AA59" s="288"/>
      <c r="AB59" s="288"/>
      <c r="AC59" s="288" t="s">
        <v>149</v>
      </c>
      <c r="AD59" s="288"/>
      <c r="AE59" s="288"/>
      <c r="AF59" s="288" t="s">
        <v>149</v>
      </c>
      <c r="AG59" s="288"/>
      <c r="AH59" s="288"/>
    </row>
    <row r="60" spans="1:34" ht="15" customHeight="1" x14ac:dyDescent="0.2">
      <c r="A60" s="163"/>
      <c r="B60" s="164" t="s">
        <v>173</v>
      </c>
      <c r="C60" s="165"/>
      <c r="D60" s="166"/>
      <c r="E60" s="339"/>
      <c r="F60" s="350"/>
      <c r="G60" s="339"/>
      <c r="H60" s="339"/>
      <c r="I60" s="339"/>
      <c r="J60" s="339"/>
      <c r="K60" s="339"/>
      <c r="L60" s="339"/>
      <c r="M60" s="339"/>
      <c r="N60" s="339"/>
      <c r="O60" s="339"/>
      <c r="P60" s="339"/>
      <c r="Q60" s="353"/>
      <c r="R60" s="353"/>
      <c r="S60" s="353"/>
      <c r="T60" s="167"/>
      <c r="U60" s="167"/>
      <c r="V60" s="353"/>
      <c r="W60" s="353"/>
      <c r="X60" s="353"/>
      <c r="Y60" s="353"/>
      <c r="Z60" s="353"/>
      <c r="AA60" s="167"/>
      <c r="AB60" s="167"/>
      <c r="AC60" s="167"/>
      <c r="AD60" s="167"/>
      <c r="AE60" s="167"/>
      <c r="AF60" s="167"/>
      <c r="AG60" s="167"/>
      <c r="AH60" s="168"/>
    </row>
    <row r="61" spans="1:34" ht="14.25" x14ac:dyDescent="0.2">
      <c r="A61" s="298"/>
      <c r="B61" s="299" t="s">
        <v>174</v>
      </c>
      <c r="C61" s="300"/>
      <c r="D61" s="301"/>
      <c r="E61" s="343"/>
      <c r="F61" s="343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  <c r="T61" s="301"/>
      <c r="U61" s="301"/>
      <c r="V61" s="343"/>
      <c r="W61" s="343"/>
      <c r="X61" s="343"/>
      <c r="Y61" s="343"/>
      <c r="Z61" s="343"/>
      <c r="AA61" s="301"/>
      <c r="AB61" s="301"/>
      <c r="AC61" s="301"/>
      <c r="AD61" s="301"/>
      <c r="AE61" s="301"/>
      <c r="AF61" s="301"/>
      <c r="AG61" s="301"/>
      <c r="AH61" s="302"/>
    </row>
    <row r="62" spans="1:34" ht="15" customHeight="1" x14ac:dyDescent="0.2">
      <c r="A62" s="294" t="s">
        <v>175</v>
      </c>
      <c r="B62" s="295" t="s">
        <v>176</v>
      </c>
      <c r="C62" s="294" t="s">
        <v>177</v>
      </c>
      <c r="D62" s="296"/>
      <c r="E62" s="344">
        <v>45383</v>
      </c>
      <c r="F62" s="345">
        <f t="shared" si="0"/>
        <v>46113</v>
      </c>
      <c r="G62" s="344">
        <v>47849</v>
      </c>
      <c r="H62" s="344"/>
      <c r="I62" s="344"/>
      <c r="J62" s="344">
        <v>47849</v>
      </c>
      <c r="K62" s="344"/>
      <c r="L62" s="344"/>
      <c r="M62" s="344"/>
      <c r="N62" s="344">
        <v>48122</v>
      </c>
      <c r="O62" s="344"/>
      <c r="P62" s="344"/>
      <c r="Q62" s="344"/>
      <c r="R62" s="344"/>
      <c r="S62" s="344"/>
      <c r="T62" s="296"/>
      <c r="U62" s="296"/>
      <c r="V62" s="344"/>
      <c r="W62" s="344"/>
      <c r="X62" s="344"/>
      <c r="Y62" s="344"/>
      <c r="Z62" s="344"/>
      <c r="AA62" s="296"/>
      <c r="AB62" s="296"/>
      <c r="AC62" s="296"/>
      <c r="AD62" s="296"/>
      <c r="AE62" s="296"/>
      <c r="AF62" s="296"/>
      <c r="AG62" s="296"/>
      <c r="AH62" s="296"/>
    </row>
    <row r="63" spans="1:34" ht="15" customHeight="1" x14ac:dyDescent="0.2">
      <c r="A63" s="22" t="s">
        <v>178</v>
      </c>
      <c r="B63" s="23" t="s">
        <v>179</v>
      </c>
      <c r="C63" s="22" t="s">
        <v>180</v>
      </c>
      <c r="D63" s="122"/>
      <c r="E63" s="333">
        <v>45413</v>
      </c>
      <c r="F63" s="333">
        <f t="shared" si="0"/>
        <v>46143</v>
      </c>
      <c r="G63" s="333">
        <v>48611</v>
      </c>
      <c r="H63" s="333"/>
      <c r="I63" s="333"/>
      <c r="J63" s="333">
        <v>49096</v>
      </c>
      <c r="K63" s="333"/>
      <c r="L63" s="333"/>
      <c r="M63" s="333"/>
      <c r="N63" s="333">
        <v>49096</v>
      </c>
      <c r="O63" s="333"/>
      <c r="P63" s="333"/>
      <c r="Q63" s="333"/>
      <c r="R63" s="333"/>
      <c r="S63" s="333"/>
      <c r="T63" s="122"/>
      <c r="U63" s="122"/>
      <c r="V63" s="333"/>
      <c r="W63" s="333"/>
      <c r="X63" s="333"/>
      <c r="Y63" s="333">
        <v>47270</v>
      </c>
      <c r="Z63" s="333"/>
      <c r="AA63" s="272"/>
      <c r="AB63" s="272"/>
      <c r="AC63" s="272"/>
      <c r="AD63" s="272"/>
      <c r="AE63" s="272"/>
      <c r="AF63" s="272"/>
      <c r="AG63" s="272"/>
      <c r="AH63" s="272"/>
    </row>
    <row r="64" spans="1:34" ht="15" customHeight="1" x14ac:dyDescent="0.2">
      <c r="A64" s="40" t="s">
        <v>181</v>
      </c>
      <c r="B64" s="41" t="s">
        <v>182</v>
      </c>
      <c r="C64" s="40" t="s">
        <v>183</v>
      </c>
      <c r="D64" s="127"/>
      <c r="E64" s="345">
        <v>45778</v>
      </c>
      <c r="F64" s="345">
        <f t="shared" si="0"/>
        <v>46508</v>
      </c>
      <c r="G64" s="345">
        <v>47150</v>
      </c>
      <c r="H64" s="345"/>
      <c r="I64" s="345"/>
      <c r="J64" s="345">
        <v>47150</v>
      </c>
      <c r="K64" s="345"/>
      <c r="L64" s="345"/>
      <c r="M64" s="345"/>
      <c r="N64" s="345">
        <v>46905</v>
      </c>
      <c r="O64" s="345"/>
      <c r="P64" s="345"/>
      <c r="Q64" s="345"/>
      <c r="R64" s="345"/>
      <c r="S64" s="345"/>
      <c r="T64" s="127"/>
      <c r="U64" s="127"/>
      <c r="V64" s="345"/>
      <c r="W64" s="345"/>
      <c r="X64" s="345"/>
      <c r="Y64" s="345"/>
      <c r="Z64" s="345"/>
      <c r="AA64" s="127"/>
      <c r="AB64" s="127"/>
      <c r="AC64" s="127"/>
      <c r="AD64" s="127"/>
      <c r="AE64" s="127"/>
      <c r="AF64" s="127"/>
      <c r="AG64" s="127"/>
      <c r="AH64" s="127"/>
    </row>
    <row r="65" spans="1:34" ht="15" customHeight="1" x14ac:dyDescent="0.2">
      <c r="A65" s="22" t="s">
        <v>184</v>
      </c>
      <c r="B65" s="23" t="s">
        <v>185</v>
      </c>
      <c r="C65" s="22" t="s">
        <v>186</v>
      </c>
      <c r="D65" s="122"/>
      <c r="E65" s="333">
        <v>45383</v>
      </c>
      <c r="F65" s="333">
        <f t="shared" si="0"/>
        <v>46113</v>
      </c>
      <c r="G65" s="333"/>
      <c r="H65" s="333"/>
      <c r="I65" s="333"/>
      <c r="J65" s="333"/>
      <c r="K65" s="333"/>
      <c r="L65" s="333"/>
      <c r="M65" s="333"/>
      <c r="N65" s="333"/>
      <c r="O65" s="333"/>
      <c r="P65" s="333"/>
      <c r="Q65" s="333"/>
      <c r="R65" s="333"/>
      <c r="S65" s="333"/>
      <c r="T65" s="122"/>
      <c r="U65" s="122"/>
      <c r="V65" s="333"/>
      <c r="W65" s="333"/>
      <c r="X65" s="333"/>
      <c r="Y65" s="333"/>
      <c r="Z65" s="333"/>
      <c r="AA65" s="272"/>
      <c r="AB65" s="272"/>
      <c r="AC65" s="272"/>
      <c r="AD65" s="272"/>
      <c r="AE65" s="272"/>
      <c r="AF65" s="272"/>
      <c r="AG65" s="272"/>
      <c r="AH65" s="272"/>
    </row>
    <row r="66" spans="1:34" ht="15" customHeight="1" x14ac:dyDescent="0.2">
      <c r="A66" s="40" t="s">
        <v>187</v>
      </c>
      <c r="B66" s="41" t="s">
        <v>188</v>
      </c>
      <c r="C66" s="40" t="s">
        <v>189</v>
      </c>
      <c r="D66" s="127"/>
      <c r="E66" s="345">
        <v>45383</v>
      </c>
      <c r="F66" s="345">
        <f t="shared" si="0"/>
        <v>46113</v>
      </c>
      <c r="G66" s="345">
        <v>46813</v>
      </c>
      <c r="H66" s="345"/>
      <c r="I66" s="345"/>
      <c r="J66" s="345">
        <v>47908</v>
      </c>
      <c r="K66" s="345"/>
      <c r="L66" s="345">
        <v>46174</v>
      </c>
      <c r="M66" s="345"/>
      <c r="N66" s="345">
        <v>49065</v>
      </c>
      <c r="O66" s="345"/>
      <c r="P66" s="345"/>
      <c r="Q66" s="345"/>
      <c r="R66" s="345"/>
      <c r="S66" s="345">
        <v>47574</v>
      </c>
      <c r="T66" s="127" t="s">
        <v>250</v>
      </c>
      <c r="U66" s="127"/>
      <c r="V66" s="345"/>
      <c r="W66" s="345"/>
      <c r="X66" s="345"/>
      <c r="Y66" s="345">
        <v>47239</v>
      </c>
      <c r="Z66" s="345"/>
      <c r="AA66" s="127"/>
      <c r="AB66" s="127"/>
      <c r="AC66" s="127"/>
      <c r="AD66" s="127"/>
      <c r="AE66" s="127"/>
      <c r="AF66" s="127"/>
      <c r="AG66" s="127"/>
      <c r="AH66" s="127"/>
    </row>
    <row r="67" spans="1:34" ht="15" customHeight="1" x14ac:dyDescent="0.2">
      <c r="A67" s="22" t="s">
        <v>190</v>
      </c>
      <c r="B67" s="23" t="s">
        <v>191</v>
      </c>
      <c r="C67" s="22" t="s">
        <v>192</v>
      </c>
      <c r="D67" s="122"/>
      <c r="E67" s="333">
        <v>45383</v>
      </c>
      <c r="F67" s="333">
        <f t="shared" si="0"/>
        <v>46113</v>
      </c>
      <c r="G67" s="333">
        <v>49096</v>
      </c>
      <c r="H67" s="333"/>
      <c r="I67" s="333"/>
      <c r="J67" s="333"/>
      <c r="K67" s="333"/>
      <c r="L67" s="333"/>
      <c r="M67" s="333"/>
      <c r="N67" s="333"/>
      <c r="O67" s="333"/>
      <c r="P67" s="333"/>
      <c r="Q67" s="333"/>
      <c r="R67" s="333"/>
      <c r="S67" s="333"/>
      <c r="T67" s="122"/>
      <c r="U67" s="122"/>
      <c r="V67" s="333">
        <v>46905</v>
      </c>
      <c r="W67" s="333"/>
      <c r="X67" s="333"/>
      <c r="Y67" s="333">
        <v>47635</v>
      </c>
      <c r="Z67" s="333"/>
      <c r="AA67" s="272"/>
      <c r="AB67" s="272"/>
      <c r="AC67" s="272"/>
      <c r="AD67" s="272"/>
      <c r="AE67" s="272"/>
      <c r="AF67" s="272"/>
      <c r="AG67" s="272"/>
      <c r="AH67" s="272"/>
    </row>
    <row r="68" spans="1:34" ht="15" customHeight="1" x14ac:dyDescent="0.2">
      <c r="A68" s="40" t="s">
        <v>193</v>
      </c>
      <c r="B68" s="41" t="s">
        <v>194</v>
      </c>
      <c r="C68" s="40" t="s">
        <v>79</v>
      </c>
      <c r="D68" s="127"/>
      <c r="E68" s="345">
        <v>45383</v>
      </c>
      <c r="F68" s="345">
        <f t="shared" si="0"/>
        <v>46113</v>
      </c>
      <c r="G68" s="345">
        <v>48214</v>
      </c>
      <c r="H68" s="345"/>
      <c r="I68" s="345"/>
      <c r="J68" s="345"/>
      <c r="K68" s="345"/>
      <c r="L68" s="345"/>
      <c r="M68" s="345">
        <v>46692</v>
      </c>
      <c r="N68" s="345">
        <v>48214</v>
      </c>
      <c r="O68" s="345"/>
      <c r="P68" s="345"/>
      <c r="Q68" s="345"/>
      <c r="R68" s="345"/>
      <c r="S68" s="345"/>
      <c r="T68" s="127" t="s">
        <v>250</v>
      </c>
      <c r="U68" s="127" t="s">
        <v>250</v>
      </c>
      <c r="V68" s="345">
        <v>47543</v>
      </c>
      <c r="W68" s="345"/>
      <c r="X68" s="345"/>
      <c r="Y68" s="345">
        <v>46388</v>
      </c>
      <c r="Z68" s="345"/>
      <c r="AA68" s="127"/>
      <c r="AB68" s="127"/>
      <c r="AC68" s="127"/>
      <c r="AD68" s="127"/>
      <c r="AE68" s="127"/>
      <c r="AF68" s="127"/>
      <c r="AG68" s="127"/>
      <c r="AH68" s="127"/>
    </row>
    <row r="69" spans="1:34" ht="15" customHeight="1" x14ac:dyDescent="0.2">
      <c r="A69" s="22" t="s">
        <v>195</v>
      </c>
      <c r="B69" s="23" t="s">
        <v>196</v>
      </c>
      <c r="C69" s="22" t="s">
        <v>197</v>
      </c>
      <c r="D69" s="122"/>
      <c r="E69" s="333"/>
      <c r="F69" s="333"/>
      <c r="G69" s="333"/>
      <c r="H69" s="333"/>
      <c r="I69" s="333"/>
      <c r="J69" s="333"/>
      <c r="K69" s="333"/>
      <c r="L69" s="333"/>
      <c r="M69" s="333">
        <v>49188</v>
      </c>
      <c r="N69" s="333"/>
      <c r="O69" s="333"/>
      <c r="P69" s="333"/>
      <c r="Q69" s="333"/>
      <c r="R69" s="333"/>
      <c r="S69" s="333"/>
      <c r="T69" s="122"/>
      <c r="U69" s="122"/>
      <c r="V69" s="333"/>
      <c r="W69" s="333"/>
      <c r="X69" s="333"/>
      <c r="Y69" s="333"/>
      <c r="Z69" s="333"/>
      <c r="AA69" s="272"/>
      <c r="AB69" s="272"/>
      <c r="AC69" s="272"/>
      <c r="AD69" s="272"/>
      <c r="AE69" s="272"/>
      <c r="AF69" s="272"/>
      <c r="AG69" s="272"/>
      <c r="AH69" s="272"/>
    </row>
    <row r="70" spans="1:34" ht="15" customHeight="1" x14ac:dyDescent="0.2">
      <c r="A70" s="40" t="s">
        <v>198</v>
      </c>
      <c r="B70" s="41" t="s">
        <v>199</v>
      </c>
      <c r="C70" s="40" t="s">
        <v>200</v>
      </c>
      <c r="D70" s="127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127"/>
      <c r="U70" s="127"/>
      <c r="V70" s="345"/>
      <c r="W70" s="345"/>
      <c r="X70" s="345"/>
      <c r="Y70" s="345"/>
      <c r="Z70" s="345"/>
      <c r="AA70" s="127"/>
      <c r="AB70" s="127"/>
      <c r="AC70" s="127"/>
      <c r="AD70" s="127"/>
      <c r="AE70" s="127"/>
      <c r="AF70" s="127"/>
      <c r="AG70" s="127"/>
      <c r="AH70" s="127"/>
    </row>
    <row r="71" spans="1:34" ht="15" customHeight="1" x14ac:dyDescent="0.2">
      <c r="A71" s="22" t="s">
        <v>201</v>
      </c>
      <c r="B71" s="23" t="s">
        <v>202</v>
      </c>
      <c r="C71" s="22" t="s">
        <v>203</v>
      </c>
      <c r="D71" s="122"/>
      <c r="E71" s="333">
        <v>45474</v>
      </c>
      <c r="F71" s="333">
        <f t="shared" si="0"/>
        <v>46204</v>
      </c>
      <c r="G71" s="333">
        <v>49188</v>
      </c>
      <c r="H71" s="333"/>
      <c r="I71" s="333"/>
      <c r="J71" s="333"/>
      <c r="K71" s="333"/>
      <c r="L71" s="333"/>
      <c r="M71" s="333"/>
      <c r="N71" s="333"/>
      <c r="O71" s="333"/>
      <c r="P71" s="333"/>
      <c r="Q71" s="333"/>
      <c r="R71" s="333"/>
      <c r="S71" s="333"/>
      <c r="T71" s="122"/>
      <c r="U71" s="122"/>
      <c r="V71" s="333">
        <v>46692</v>
      </c>
      <c r="W71" s="333"/>
      <c r="X71" s="333"/>
      <c r="Y71" s="333">
        <v>47362</v>
      </c>
      <c r="Z71" s="333"/>
      <c r="AA71" s="272"/>
      <c r="AB71" s="272"/>
      <c r="AC71" s="272"/>
      <c r="AD71" s="272"/>
      <c r="AE71" s="272"/>
      <c r="AF71" s="272"/>
      <c r="AG71" s="272"/>
      <c r="AH71" s="272"/>
    </row>
    <row r="72" spans="1:34" ht="15" customHeight="1" x14ac:dyDescent="0.2">
      <c r="A72" s="160" t="s">
        <v>204</v>
      </c>
      <c r="B72" s="161" t="s">
        <v>205</v>
      </c>
      <c r="C72" s="160" t="s">
        <v>148</v>
      </c>
      <c r="D72" s="162"/>
      <c r="E72" s="346">
        <v>45383</v>
      </c>
      <c r="F72" s="345">
        <f t="shared" si="0"/>
        <v>46113</v>
      </c>
      <c r="G72" s="346"/>
      <c r="H72" s="346"/>
      <c r="I72" s="346"/>
      <c r="J72" s="346"/>
      <c r="K72" s="346"/>
      <c r="L72" s="346"/>
      <c r="M72" s="346"/>
      <c r="N72" s="346">
        <v>48000</v>
      </c>
      <c r="O72" s="346"/>
      <c r="P72" s="346"/>
      <c r="Q72" s="346"/>
      <c r="R72" s="346"/>
      <c r="S72" s="346"/>
      <c r="T72" s="162"/>
      <c r="U72" s="162"/>
      <c r="V72" s="346"/>
      <c r="W72" s="346"/>
      <c r="X72" s="346"/>
      <c r="Y72" s="346">
        <v>47270</v>
      </c>
      <c r="Z72" s="346"/>
      <c r="AA72" s="162"/>
      <c r="AB72" s="162"/>
      <c r="AC72" s="162"/>
      <c r="AD72" s="162"/>
      <c r="AE72" s="162"/>
      <c r="AF72" s="162"/>
      <c r="AG72" s="162"/>
      <c r="AH72" s="162"/>
    </row>
    <row r="73" spans="1:34" ht="15" customHeight="1" x14ac:dyDescent="0.2">
      <c r="A73" s="163"/>
      <c r="B73" s="164" t="s">
        <v>206</v>
      </c>
      <c r="C73" s="165"/>
      <c r="D73" s="166"/>
      <c r="E73" s="339"/>
      <c r="F73" s="350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53"/>
      <c r="R73" s="353"/>
      <c r="S73" s="353"/>
      <c r="T73" s="167"/>
      <c r="U73" s="167"/>
      <c r="V73" s="353"/>
      <c r="W73" s="353"/>
      <c r="X73" s="353"/>
      <c r="Y73" s="353"/>
      <c r="Z73" s="353"/>
      <c r="AA73" s="167"/>
      <c r="AB73" s="167"/>
      <c r="AC73" s="167"/>
      <c r="AD73" s="167"/>
      <c r="AE73" s="167"/>
      <c r="AF73" s="167"/>
      <c r="AG73" s="167"/>
      <c r="AH73" s="168"/>
    </row>
    <row r="74" spans="1:34" ht="15" customHeight="1" x14ac:dyDescent="0.2">
      <c r="A74" s="32"/>
      <c r="B74" s="33" t="s">
        <v>251</v>
      </c>
      <c r="C74" s="34"/>
      <c r="D74" s="125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  <c r="P74" s="347"/>
      <c r="Q74" s="354"/>
      <c r="R74" s="354"/>
      <c r="S74" s="354"/>
      <c r="T74" s="155"/>
      <c r="U74" s="155"/>
      <c r="V74" s="354"/>
      <c r="W74" s="354"/>
      <c r="X74" s="354"/>
      <c r="Y74" s="354"/>
      <c r="Z74" s="354"/>
      <c r="AA74" s="155"/>
      <c r="AB74" s="155"/>
      <c r="AC74" s="155"/>
      <c r="AD74" s="155"/>
      <c r="AE74" s="155"/>
      <c r="AF74" s="155"/>
      <c r="AG74" s="155"/>
      <c r="AH74" s="156"/>
    </row>
    <row r="75" spans="1:34" ht="14.25" x14ac:dyDescent="0.2">
      <c r="A75" s="169"/>
      <c r="B75" s="170" t="s">
        <v>207</v>
      </c>
      <c r="C75" s="171"/>
      <c r="D75" s="172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172"/>
      <c r="U75" s="172"/>
      <c r="V75" s="348"/>
      <c r="W75" s="348"/>
      <c r="X75" s="348"/>
      <c r="Y75" s="348"/>
      <c r="Z75" s="348"/>
      <c r="AA75" s="172"/>
      <c r="AB75" s="172"/>
      <c r="AC75" s="172"/>
      <c r="AD75" s="172"/>
      <c r="AE75" s="172"/>
      <c r="AF75" s="172"/>
      <c r="AG75" s="172"/>
      <c r="AH75" s="173"/>
    </row>
    <row r="76" spans="1:34" ht="15" customHeight="1" x14ac:dyDescent="0.2">
      <c r="A76" s="47" t="s">
        <v>208</v>
      </c>
      <c r="B76" s="48" t="s">
        <v>209</v>
      </c>
      <c r="C76" s="47" t="s">
        <v>96</v>
      </c>
      <c r="D76" s="130"/>
      <c r="E76" s="332">
        <v>45383</v>
      </c>
      <c r="F76" s="333">
        <f t="shared" si="0"/>
        <v>46113</v>
      </c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130"/>
      <c r="U76" s="130"/>
      <c r="V76" s="332"/>
      <c r="W76" s="332"/>
      <c r="X76" s="332"/>
      <c r="Y76" s="332"/>
      <c r="Z76" s="332"/>
      <c r="AA76" s="282"/>
      <c r="AB76" s="282"/>
      <c r="AC76" s="282"/>
      <c r="AD76" s="282"/>
      <c r="AE76" s="282"/>
      <c r="AF76" s="282"/>
      <c r="AG76" s="282"/>
      <c r="AH76" s="282"/>
    </row>
    <row r="77" spans="1:34" ht="15" customHeight="1" x14ac:dyDescent="0.2">
      <c r="A77" s="28" t="s">
        <v>210</v>
      </c>
      <c r="B77" s="29" t="s">
        <v>248</v>
      </c>
      <c r="C77" s="28" t="s">
        <v>211</v>
      </c>
      <c r="D77" s="123"/>
      <c r="E77" s="334"/>
      <c r="F77" s="333"/>
      <c r="G77" s="334">
        <v>47757</v>
      </c>
      <c r="H77" s="334"/>
      <c r="I77" s="334"/>
      <c r="J77" s="334">
        <v>47757</v>
      </c>
      <c r="K77" s="334"/>
      <c r="L77" s="334"/>
      <c r="M77" s="334">
        <v>47088</v>
      </c>
      <c r="N77" s="334">
        <v>47757</v>
      </c>
      <c r="O77" s="334"/>
      <c r="P77" s="334"/>
      <c r="Q77" s="334">
        <v>47574</v>
      </c>
      <c r="R77" s="334"/>
      <c r="S77" s="334"/>
      <c r="T77" s="123"/>
      <c r="U77" s="123" t="s">
        <v>250</v>
      </c>
      <c r="V77" s="334">
        <v>47088</v>
      </c>
      <c r="W77" s="334"/>
      <c r="X77" s="334"/>
      <c r="Y77" s="334">
        <v>47392</v>
      </c>
      <c r="Z77" s="334"/>
      <c r="AA77" s="288"/>
      <c r="AB77" s="288"/>
      <c r="AC77" s="288"/>
      <c r="AD77" s="288"/>
      <c r="AE77" s="288"/>
      <c r="AF77" s="288"/>
      <c r="AG77" s="288"/>
      <c r="AH77" s="288"/>
    </row>
    <row r="78" spans="1:34" ht="14.25" x14ac:dyDescent="0.2">
      <c r="A78" s="44"/>
      <c r="B78" s="45" t="s">
        <v>212</v>
      </c>
      <c r="C78" s="46"/>
      <c r="D78" s="128"/>
      <c r="E78" s="349"/>
      <c r="F78" s="351"/>
      <c r="G78" s="349"/>
      <c r="H78" s="349"/>
      <c r="I78" s="349"/>
      <c r="J78" s="349"/>
      <c r="K78" s="349"/>
      <c r="L78" s="349"/>
      <c r="M78" s="349"/>
      <c r="N78" s="349"/>
      <c r="O78" s="349"/>
      <c r="P78" s="349"/>
      <c r="Q78" s="349"/>
      <c r="R78" s="349"/>
      <c r="S78" s="349"/>
      <c r="T78" s="128"/>
      <c r="U78" s="128"/>
      <c r="V78" s="349"/>
      <c r="W78" s="349"/>
      <c r="X78" s="349"/>
      <c r="Y78" s="349"/>
      <c r="Z78" s="349"/>
      <c r="AA78" s="128"/>
      <c r="AB78" s="128"/>
      <c r="AC78" s="128"/>
      <c r="AD78" s="128"/>
      <c r="AE78" s="128"/>
      <c r="AF78" s="128"/>
      <c r="AG78" s="128"/>
      <c r="AH78" s="129"/>
    </row>
    <row r="79" spans="1:34" ht="15" customHeight="1" x14ac:dyDescent="0.2">
      <c r="A79" s="47" t="s">
        <v>213</v>
      </c>
      <c r="B79" s="48" t="s">
        <v>214</v>
      </c>
      <c r="C79" s="47" t="s">
        <v>157</v>
      </c>
      <c r="D79" s="130"/>
      <c r="E79" s="332">
        <v>45383</v>
      </c>
      <c r="F79" s="333">
        <f t="shared" si="0"/>
        <v>46113</v>
      </c>
      <c r="G79" s="332"/>
      <c r="H79" s="332"/>
      <c r="I79" s="332"/>
      <c r="J79" s="332"/>
      <c r="K79" s="332"/>
      <c r="L79" s="332"/>
      <c r="M79" s="332"/>
      <c r="N79" s="332"/>
      <c r="O79" s="332"/>
      <c r="P79" s="332"/>
      <c r="Q79" s="332"/>
      <c r="R79" s="332"/>
      <c r="S79" s="332"/>
      <c r="T79" s="130"/>
      <c r="U79" s="130"/>
      <c r="V79" s="332"/>
      <c r="W79" s="332"/>
      <c r="X79" s="332"/>
      <c r="Y79" s="332"/>
      <c r="Z79" s="332"/>
      <c r="AA79" s="282"/>
      <c r="AB79" s="282"/>
      <c r="AC79" s="282"/>
      <c r="AD79" s="282"/>
      <c r="AE79" s="282"/>
      <c r="AF79" s="282"/>
      <c r="AG79" s="282"/>
      <c r="AH79" s="282"/>
    </row>
    <row r="80" spans="1:34" ht="15" customHeight="1" x14ac:dyDescent="0.2">
      <c r="A80" s="22" t="s">
        <v>215</v>
      </c>
      <c r="B80" s="23" t="s">
        <v>216</v>
      </c>
      <c r="C80" s="22" t="s">
        <v>217</v>
      </c>
      <c r="D80" s="122"/>
      <c r="E80" s="333">
        <v>45383</v>
      </c>
      <c r="F80" s="333">
        <f t="shared" si="0"/>
        <v>46113</v>
      </c>
      <c r="G80" s="333"/>
      <c r="H80" s="333"/>
      <c r="I80" s="333"/>
      <c r="J80" s="333"/>
      <c r="K80" s="333"/>
      <c r="L80" s="333"/>
      <c r="M80" s="333"/>
      <c r="N80" s="333"/>
      <c r="O80" s="333"/>
      <c r="P80" s="333"/>
      <c r="Q80" s="333"/>
      <c r="R80" s="333"/>
      <c r="S80" s="333"/>
      <c r="T80" s="122"/>
      <c r="U80" s="122"/>
      <c r="V80" s="333"/>
      <c r="W80" s="333"/>
      <c r="X80" s="333"/>
      <c r="Y80" s="333"/>
      <c r="Z80" s="333"/>
      <c r="AA80" s="272"/>
      <c r="AB80" s="272"/>
      <c r="AC80" s="272"/>
      <c r="AD80" s="272"/>
      <c r="AE80" s="272"/>
      <c r="AF80" s="272"/>
      <c r="AG80" s="272"/>
      <c r="AH80" s="272"/>
    </row>
  </sheetData>
  <conditionalFormatting sqref="Q12:Z12 Q14:Z14 Q17:Z17 Q19:Z19 Q21:Z21 Q23:Z24 Q26:Z29 Q31:Z31 Q33:Z34 Q36:Z51 Q53:Z53 Q55:Z55 Q57:Z57 Q59:Z60 Q62:Z63 Q65:Z65 Q67:Z67 Q69:Z69 Q71:Z71 Q76:Z77 Q79:Z80 AA37:AH38 AA40:AH40 AA42:AH42 AA45:AH45 AA48:AH49 AA60:AH60 Q73:AE74 AF72:AH74 Z22:AH22 AA62:AH62 AA64:AH64 AA66:AH66 AA68:AH68 AA70:AH70 AA72:AE72">
    <cfRule type="containsText" dxfId="41" priority="30" operator="containsText" text="AH">
      <formula>NOT(ISERROR(SEARCH("AH",Q12)))</formula>
    </cfRule>
    <cfRule type="containsText" dxfId="40" priority="31" operator="containsText" text="TP">
      <formula>NOT(ISERROR(SEARCH("TP",Q12)))</formula>
    </cfRule>
    <cfRule type="containsText" dxfId="39" priority="32" operator="containsText" text="TAD">
      <formula>NOT(ISERROR(SEARCH("TAD",Q12)))</formula>
    </cfRule>
    <cfRule type="containsText" dxfId="38" priority="33" operator="containsText" text="AT">
      <formula>NOT(ISERROR(SEARCH("AT",Q12)))</formula>
    </cfRule>
    <cfRule type="containsText" dxfId="37" priority="34" operator="containsText" text="MA">
      <formula>NOT(ISERROR(SEARCH("MA",Q12)))</formula>
    </cfRule>
    <cfRule type="containsText" dxfId="36" priority="35" operator="containsText" text="RES">
      <formula>NOT(ISERROR(SEARCH("RES",Q12)))</formula>
    </cfRule>
    <cfRule type="containsText" dxfId="35" priority="36" operator="containsText" text="CEX">
      <formula>NOT(ISERROR(SEARCH("CEX",Q12)))</formula>
    </cfRule>
    <cfRule type="containsText" dxfId="34" priority="37" operator="containsText" text="RTT">
      <formula>NOT(ISERROR(SEARCH("RTT",Q12)))</formula>
    </cfRule>
    <cfRule type="beginsWith" dxfId="33" priority="38" operator="beginsWith" text="CA">
      <formula>LEFT(Q12,LEN("CA"))="CA"</formula>
    </cfRule>
    <cfRule type="containsText" dxfId="32" priority="39" operator="containsText" text="AST">
      <formula>NOT(ISERROR(SEARCH("AST",Q12)))</formula>
    </cfRule>
    <cfRule type="containsText" dxfId="31" priority="40" operator="containsText" text="F">
      <formula>NOT(ISERROR(SEARCH("F",Q12)))</formula>
    </cfRule>
    <cfRule type="containsText" dxfId="30" priority="41" operator="containsText" text="PC">
      <formula>NOT(ISERROR(SEARCH("PC",Q12)))</formula>
    </cfRule>
    <cfRule type="containsText" dxfId="29" priority="42" operator="containsText" text="P">
      <formula>NOT(ISERROR(SEARCH("P",Q12)))</formula>
    </cfRule>
  </conditionalFormatting>
  <conditionalFormatting sqref="Q12:Z12 Q14:Z14 Q17:Z17 Q19:Z19 Q21:Z21 Q23:Z24 Q26:Z29 Q31:Z31 Q33:Z34 Q36:Z47 Q50:Z51 Q53:Z53 Q55:Z55 Q57:Z57 Q59:Z59 Q62:Z63 Q65:Z65 Q67:Z67 Q69:Z69 Q71:Z71 Q76:Z77 Q79:Z80 AA37:AH38 AA40:AH40 AA42:AH42 AA45:AH45 AA62:AH62 AA64:AH64 AA66:AH66 AA68:AH68 AA70:AH70 AA72:AH72">
    <cfRule type="expression" dxfId="28" priority="29">
      <formula>OR(Q$9=1,Q$9=7)</formula>
    </cfRule>
  </conditionalFormatting>
  <conditionalFormatting sqref="Q58:AH58 Q56:AH56 Q54:AH54 Q52:AH52 AA50:AH50">
    <cfRule type="expression" dxfId="27" priority="15">
      <formula>OR(Q$9=1,Q$9=7)</formula>
    </cfRule>
    <cfRule type="containsText" dxfId="26" priority="16" operator="containsText" text="AH">
      <formula>NOT(ISERROR(SEARCH("AH",Q50)))</formula>
    </cfRule>
    <cfRule type="containsText" dxfId="25" priority="17" operator="containsText" text="TP">
      <formula>NOT(ISERROR(SEARCH("TP",Q50)))</formula>
    </cfRule>
    <cfRule type="containsText" dxfId="24" priority="18" operator="containsText" text="TAD">
      <formula>NOT(ISERROR(SEARCH("TAD",Q50)))</formula>
    </cfRule>
    <cfRule type="containsText" dxfId="23" priority="19" operator="containsText" text="AT">
      <formula>NOT(ISERROR(SEARCH("AT",Q50)))</formula>
    </cfRule>
    <cfRule type="containsText" dxfId="22" priority="20" operator="containsText" text="MA">
      <formula>NOT(ISERROR(SEARCH("MA",Q50)))</formula>
    </cfRule>
    <cfRule type="containsText" dxfId="21" priority="21" operator="containsText" text="RES">
      <formula>NOT(ISERROR(SEARCH("RES",Q50)))</formula>
    </cfRule>
    <cfRule type="containsText" dxfId="20" priority="22" operator="containsText" text="CEX">
      <formula>NOT(ISERROR(SEARCH("CEX",Q50)))</formula>
    </cfRule>
    <cfRule type="containsText" dxfId="19" priority="23" operator="containsText" text="RTT">
      <formula>NOT(ISERROR(SEARCH("RTT",Q50)))</formula>
    </cfRule>
    <cfRule type="beginsWith" dxfId="18" priority="24" operator="beginsWith" text="CA">
      <formula>LEFT(Q50,LEN("CA"))="CA"</formula>
    </cfRule>
    <cfRule type="containsText" dxfId="17" priority="25" operator="containsText" text="AST">
      <formula>NOT(ISERROR(SEARCH("AST",Q50)))</formula>
    </cfRule>
    <cfRule type="containsText" dxfId="16" priority="26" operator="containsText" text="F">
      <formula>NOT(ISERROR(SEARCH("F",Q50)))</formula>
    </cfRule>
    <cfRule type="containsText" dxfId="15" priority="27" operator="containsText" text="PC">
      <formula>NOT(ISERROR(SEARCH("PC",Q50)))</formula>
    </cfRule>
    <cfRule type="containsText" dxfId="14" priority="28" operator="containsText" text="P">
      <formula>NOT(ISERROR(SEARCH("P",Q50)))</formula>
    </cfRule>
  </conditionalFormatting>
  <conditionalFormatting sqref="Q64:Z64 Q66:Z66 Q68:Z68 Q70:Z70 Q72:Z72">
    <cfRule type="expression" dxfId="13" priority="1">
      <formula>OR(Q$9=1,Q$9=7)</formula>
    </cfRule>
    <cfRule type="containsText" dxfId="12" priority="2" operator="containsText" text="AH">
      <formula>NOT(ISERROR(SEARCH("AH",Q64)))</formula>
    </cfRule>
    <cfRule type="containsText" dxfId="11" priority="3" operator="containsText" text="TP">
      <formula>NOT(ISERROR(SEARCH("TP",Q64)))</formula>
    </cfRule>
    <cfRule type="containsText" dxfId="10" priority="4" operator="containsText" text="TAD">
      <formula>NOT(ISERROR(SEARCH("TAD",Q64)))</formula>
    </cfRule>
    <cfRule type="containsText" dxfId="9" priority="5" operator="containsText" text="AT">
      <formula>NOT(ISERROR(SEARCH("AT",Q64)))</formula>
    </cfRule>
    <cfRule type="containsText" dxfId="8" priority="6" operator="containsText" text="MA">
      <formula>NOT(ISERROR(SEARCH("MA",Q64)))</formula>
    </cfRule>
    <cfRule type="containsText" dxfId="7" priority="7" operator="containsText" text="RES">
      <formula>NOT(ISERROR(SEARCH("RES",Q64)))</formula>
    </cfRule>
    <cfRule type="containsText" dxfId="6" priority="8" operator="containsText" text="CEX">
      <formula>NOT(ISERROR(SEARCH("CEX",Q64)))</formula>
    </cfRule>
    <cfRule type="containsText" dxfId="5" priority="9" operator="containsText" text="RTT">
      <formula>NOT(ISERROR(SEARCH("RTT",Q64)))</formula>
    </cfRule>
    <cfRule type="beginsWith" dxfId="4" priority="10" operator="beginsWith" text="CA">
      <formula>LEFT(Q64,LEN("CA"))="CA"</formula>
    </cfRule>
    <cfRule type="containsText" dxfId="3" priority="11" operator="containsText" text="AST">
      <formula>NOT(ISERROR(SEARCH("AST",Q64)))</formula>
    </cfRule>
    <cfRule type="containsText" dxfId="2" priority="12" operator="containsText" text="F">
      <formula>NOT(ISERROR(SEARCH("F",Q64)))</formula>
    </cfRule>
    <cfRule type="containsText" dxfId="1" priority="13" operator="containsText" text="PC">
      <formula>NOT(ISERROR(SEARCH("PC",Q64)))</formula>
    </cfRule>
    <cfRule type="containsText" dxfId="0" priority="14" operator="containsText" text="P">
      <formula>NOT(ISERROR(SEARCH("P",Q64)))</formula>
    </cfRule>
  </conditionalFormatting>
  <dataValidations count="6">
    <dataValidation type="list" allowBlank="1" errorTitle="Erreur de saisie" error="Valeur invalide" promptTitle="Chauffeur PL" prompt="Sélectionner OUI si l'agent possède la compétence &quot;Chauffeur PL&quot;" sqref="AA12 AA14 AA17 AA19 AA21 AA23:AA24 AA26:AA29 AA31 AA33:AA34 AA36 AA39 AA41 AA43:AA44 AA46:AA47 AA50:AA59 AA62:AA72 AA76:AA77 AA79:AA80" xr:uid="{6CF429A9-A693-48CF-B067-43964C6E1EA8}">
      <formula1>"OUI,NON"</formula1>
    </dataValidation>
    <dataValidation type="list" allowBlank="1" errorTitle="Erreur de saisie" error="Valeur invalide" promptTitle="Maçon" prompt="Sélectionner OUI si l'agent possède la compétence &quot;Maçon&quot;" sqref="AB12 AB14 AB17 AB19 AB21 AB23:AB24 AB26:AB29 AB31 AB33:AB34 AB36 AB39 AB41 AB43:AB44 AB46:AB47 AB50:AB59 AB62:AB72 AB76:AB77 AB79:AB80" xr:uid="{48991964-82EB-4FD6-AEA4-125440EF75D0}">
      <formula1>"OUI,NON"</formula1>
    </dataValidation>
    <dataValidation type="list" allowBlank="1" errorTitle="Erreur de saisie" error="Valeur invalide" promptTitle="Aide Maçon" prompt="Sélectionner OUI si l'agent possède la compétence &quot;Aide Maçon&quot;" sqref="AC12 AC14 AC17 AC19 AC21 AC23:AC24 AC26:AC29 AC31 AC33:AC34 AC36 AC39 AC41 AC43:AC44 AC46:AC47 AC50:AC59 AC62:AC72 AC76:AC77 AC79:AC80" xr:uid="{3BC8E613-91B0-4FA5-B60C-A1D30594A997}">
      <formula1>"OUI,NON"</formula1>
    </dataValidation>
    <dataValidation type="list" allowBlank="1" errorTitle="Erreur de saisie" error="Valeur invalide" promptTitle="Enrobé" prompt="Sélectionner OUI si l'agent possède la compétence &quot;Enrobé&quot;" sqref="AD12 AD14 AD17 AD19 AD21 AD23:AD24 AD26:AD29 AD31 AD33:AD34 AD36 AD39 AD41 AD43:AD44 AD46:AD47 AD50:AD59 AD62:AD72 AD76:AD77 AD79:AD80" xr:uid="{9EEB2B90-87E1-497E-AC88-A66725682883}">
      <formula1>"OUI,NON"</formula1>
    </dataValidation>
    <dataValidation type="list" allowBlank="1" errorTitle="Erreur de saisie" error="Valeur invalide" promptTitle="Blowpatcher" prompt="Sélectionner OUI si l'agent possède la compétence &quot;Blowpatcher&quot;" sqref="AH12 AH14 AH17 AH19 AH21 AH23:AH24 AH26:AH29 AH31 AH33:AH34 AH36 AH39 AH41 AH43:AH44 AH46:AH47 AH50:AH59 AH62:AH72 AH76:AH77 AH79:AH80" xr:uid="{3360773F-8841-4C0C-81D2-19A0FCCF63F0}">
      <formula1>"OUI,NON"</formula1>
    </dataValidation>
    <dataValidation type="list" allowBlank="1" errorTitle="Erreur de saisie" error="Valeur invalide" promptTitle="Enginiste" prompt="Sélectionner OUI si l'agent possède la compétence &quot;Enginiste&quot;" sqref="AE79:AG80 AE76:AG77 AE62:AG72 AE50:AG59 AE46:AG47 AE43:AG44 AE41:AG41 AE39:AG39 AE36:AG36 AE33:AG34 AE31:AG31 AE26:AG29 AE23:AG24 AE21:AG21 AE19:AG19 AE17:AG17 AE14:AG14 AE12:AG12" xr:uid="{0AC1D5FF-87AE-4D36-B16E-077ED0BB1A96}">
      <formula1>"OUI,NON"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A64CB-5A56-4CA1-BA71-CC9D2135CA03}">
  <dimension ref="A1:AZ3"/>
  <sheetViews>
    <sheetView workbookViewId="0">
      <selection activeCell="S28" sqref="S28"/>
    </sheetView>
  </sheetViews>
  <sheetFormatPr baseColWidth="10" defaultRowHeight="15" x14ac:dyDescent="0.25"/>
  <cols>
    <col min="1" max="52" width="4.7109375" customWidth="1"/>
  </cols>
  <sheetData>
    <row r="1" spans="1:52" ht="15.75" thickBot="1" x14ac:dyDescent="0.3"/>
    <row r="2" spans="1:52" ht="15.75" thickBot="1" x14ac:dyDescent="0.3">
      <c r="A2" s="309" t="s">
        <v>231</v>
      </c>
      <c r="B2" s="310" t="s">
        <v>232</v>
      </c>
      <c r="C2" s="311" t="s">
        <v>233</v>
      </c>
      <c r="D2" s="312" t="s">
        <v>234</v>
      </c>
      <c r="E2" s="313" t="s">
        <v>235</v>
      </c>
      <c r="F2" s="314" t="s">
        <v>236</v>
      </c>
      <c r="G2" s="315" t="s">
        <v>224</v>
      </c>
      <c r="H2" s="316" t="s">
        <v>237</v>
      </c>
      <c r="I2" s="317" t="s">
        <v>238</v>
      </c>
      <c r="J2" s="318" t="s">
        <v>239</v>
      </c>
      <c r="K2" s="319" t="s">
        <v>240</v>
      </c>
      <c r="L2" s="320" t="s">
        <v>241</v>
      </c>
      <c r="M2" s="321" t="s">
        <v>242</v>
      </c>
      <c r="N2" s="52"/>
      <c r="O2" s="309" t="s">
        <v>231</v>
      </c>
      <c r="P2" s="310" t="s">
        <v>232</v>
      </c>
      <c r="Q2" s="311" t="s">
        <v>233</v>
      </c>
      <c r="R2" s="312" t="s">
        <v>234</v>
      </c>
      <c r="S2" s="313" t="s">
        <v>235</v>
      </c>
      <c r="T2" s="314" t="s">
        <v>236</v>
      </c>
      <c r="U2" s="315" t="s">
        <v>224</v>
      </c>
      <c r="V2" s="316" t="s">
        <v>237</v>
      </c>
      <c r="W2" s="317" t="s">
        <v>238</v>
      </c>
      <c r="X2" s="318" t="s">
        <v>239</v>
      </c>
      <c r="Y2" s="319" t="s">
        <v>240</v>
      </c>
      <c r="Z2" s="321" t="s">
        <v>242</v>
      </c>
      <c r="AB2" s="309" t="s">
        <v>231</v>
      </c>
      <c r="AC2" s="310" t="s">
        <v>232</v>
      </c>
      <c r="AD2" s="311" t="s">
        <v>233</v>
      </c>
      <c r="AE2" s="312" t="s">
        <v>234</v>
      </c>
      <c r="AF2" s="313" t="s">
        <v>235</v>
      </c>
      <c r="AG2" s="314" t="s">
        <v>236</v>
      </c>
      <c r="AH2" s="315" t="s">
        <v>224</v>
      </c>
      <c r="AI2" s="316" t="s">
        <v>237</v>
      </c>
      <c r="AJ2" s="317" t="s">
        <v>238</v>
      </c>
      <c r="AK2" s="318" t="s">
        <v>239</v>
      </c>
      <c r="AL2" s="319" t="s">
        <v>240</v>
      </c>
      <c r="AM2" s="321" t="s">
        <v>242</v>
      </c>
      <c r="AO2" s="309" t="s">
        <v>231</v>
      </c>
      <c r="AP2" s="310" t="s">
        <v>232</v>
      </c>
      <c r="AQ2" s="311" t="s">
        <v>233</v>
      </c>
      <c r="AR2" s="312" t="s">
        <v>234</v>
      </c>
      <c r="AS2" s="313" t="s">
        <v>235</v>
      </c>
      <c r="AT2" s="314" t="s">
        <v>236</v>
      </c>
      <c r="AU2" s="315" t="s">
        <v>224</v>
      </c>
      <c r="AV2" s="316" t="s">
        <v>237</v>
      </c>
      <c r="AW2" s="317" t="s">
        <v>238</v>
      </c>
      <c r="AX2" s="318" t="s">
        <v>239</v>
      </c>
      <c r="AY2" s="319" t="s">
        <v>240</v>
      </c>
      <c r="AZ2" s="321" t="s">
        <v>242</v>
      </c>
    </row>
    <row r="3" spans="1:52" ht="15.75" thickBot="1" x14ac:dyDescent="0.3">
      <c r="A3" s="322">
        <f>'Janvier 2026'!D84+'Février 2026'!D84+'Mars 2026'!D84+'Avril 2026'!D84+'Mai 2026'!D84+'Juin 2026'!D84+'Juillet 2026'!D84+'Août 2026'!D84+'Septembre 2026'!D84+'Octobre 2026'!D84+'Novembre 2026'!D84+'Décembre 2026'!D84</f>
        <v>41</v>
      </c>
      <c r="B3" s="323">
        <f>'Janvier 2026'!E84+'Février 2026'!E84+'Mars 2026'!E84+'Avril 2026'!E84+'Mai 2026'!E84+'Juin 2026'!E84+'Juillet 2026'!E84+'Août 2026'!E84+'Septembre 2026'!E84+'Octobre 2026'!E84+'Novembre 2026'!E84+'Décembre 2026'!E84</f>
        <v>0</v>
      </c>
      <c r="C3" s="323">
        <f>'Janvier 2026'!F84+'Février 2026'!F84+'Mars 2026'!F84+'Avril 2026'!F84+'Mai 2026'!F84+'Juin 2026'!F84+'Juillet 2026'!F84+'Août 2026'!F84+'Septembre 2026'!F84+'Octobre 2026'!F84+'Novembre 2026'!F84+'Décembre 2026'!F84</f>
        <v>93</v>
      </c>
      <c r="D3" s="323">
        <f>'Janvier 2026'!G84+'Février 2026'!G84+'Mars 2026'!G84+'Avril 2026'!G84+'Mai 2026'!G84+'Juin 2026'!G84+'Juillet 2026'!G84+'Août 2026'!G84+'Septembre 2026'!G84+'Octobre 2026'!G84+'Novembre 2026'!G84+'Décembre 2026'!G84</f>
        <v>13</v>
      </c>
      <c r="E3" s="323">
        <f>'Janvier 2026'!H84+'Février 2026'!H84+'Mars 2026'!H84+'Avril 2026'!H84+'Mai 2026'!H84+'Juin 2026'!H84+'Juillet 2026'!H84+'Août 2026'!H84+'Septembre 2026'!H84+'Octobre 2026'!H84+'Novembre 2026'!H84+'Décembre 2026'!H84</f>
        <v>32</v>
      </c>
      <c r="F3" s="323">
        <f>'Janvier 2026'!I84+'Février 2026'!I84+'Mars 2026'!I84+'Avril 2026'!I84+'Mai 2026'!I84+'Juin 2026'!I84+'Juillet 2026'!I84+'Août 2026'!I84+'Septembre 2026'!I84+'Octobre 2026'!I84+'Novembre 2026'!I84+'Décembre 2026'!I84</f>
        <v>35</v>
      </c>
      <c r="G3" s="323">
        <f>'Janvier 2026'!J84+'Février 2026'!J84+'Mars 2026'!J84+'Avril 2026'!J84+'Mai 2026'!J84+'Juin 2026'!J84+'Juillet 2026'!J84+'Août 2026'!J84+'Septembre 2026'!J84+'Octobre 2026'!J84+'Novembre 2026'!J84+'Décembre 2026'!J84</f>
        <v>24</v>
      </c>
      <c r="H3" s="323">
        <f>'Janvier 2026'!K84+'Février 2026'!K84+'Mars 2026'!K84+'Avril 2026'!K84+'Mai 2026'!K84+'Juin 2026'!K84+'Juillet 2026'!K84+'Août 2026'!K84+'Septembre 2026'!K84+'Octobre 2026'!K84+'Novembre 2026'!K84+'Décembre 2026'!K84</f>
        <v>2</v>
      </c>
      <c r="I3" s="323">
        <f>'Janvier 2026'!L84+'Février 2026'!L84+'Mars 2026'!L84+'Avril 2026'!L84+'Mai 2026'!L84+'Juin 2026'!L84+'Juillet 2026'!L84+'Août 2026'!L84+'Septembre 2026'!L84+'Octobre 2026'!L84+'Novembre 2026'!L84+'Décembre 2026'!L84</f>
        <v>0</v>
      </c>
      <c r="J3" s="323">
        <f>'Janvier 2026'!M84+'Février 2026'!M84+'Mars 2026'!M84+'Avril 2026'!M84+'Mai 2026'!M84+'Juin 2026'!M84+'Juillet 2026'!M84+'Août 2026'!M84+'Septembre 2026'!M84+'Octobre 2026'!M84+'Novembre 2026'!M84+'Décembre 2026'!M84</f>
        <v>27</v>
      </c>
      <c r="K3" s="323">
        <f>'Janvier 2026'!N84+'Février 2026'!N84+'Mars 2026'!N84+'Avril 2026'!N84+'Mai 2026'!N84+'Juin 2026'!N84+'Juillet 2026'!N84+'Août 2026'!N84+'Septembre 2026'!N84+'Octobre 2026'!N84+'Novembre 2026'!N84+'Décembre 2026'!N84</f>
        <v>0</v>
      </c>
      <c r="L3" s="323">
        <f>'Janvier 2026'!O84+'Février 2026'!O84+'Mars 2026'!O84+'Avril 2026'!O84+'Mai 2026'!O84+'Juin 2026'!O84+'Juillet 2026'!O84+'Août 2026'!O84+'Septembre 2026'!O84+'Octobre 2026'!O84+'Novembre 2026'!O84+'Décembre 2026'!O84</f>
        <v>4</v>
      </c>
      <c r="M3" s="324">
        <f>'Janvier 2026'!P84+'Février 2026'!P84+'Mars 2026'!P84+'Avril 2026'!P84+'Mai 2026'!P84+'Juin 2026'!P84+'Juillet 2026'!P84+'Août 2026'!P84+'Septembre 2026'!P84+'Octobre 2026'!P84+'Novembre 2026'!P84+'Décembre 2026'!P84</f>
        <v>79</v>
      </c>
      <c r="O3" s="322">
        <f>'Janvier 2026'!W84+'Février 2026'!W84+'Mars 2026'!W84+'Avril 2026'!W84+'Mai 2026'!W84+'Juin 2026'!W84+'Juillet 2026'!W84+'Août 2026'!W84+'Septembre 2026'!W84+'Octobre 2026'!W84+'Novembre 2026'!W84+'Décembre 2026'!W84</f>
        <v>130</v>
      </c>
      <c r="P3" s="323">
        <f>'Janvier 2026'!X84+'Février 2026'!X84+'Mars 2026'!X84+'Avril 2026'!X84+'Mai 2026'!X84+'Juin 2026'!X84+'Juillet 2026'!X84+'Août 2026'!X84+'Septembre 2026'!X84+'Octobre 2026'!X84+'Novembre 2026'!X84+'Décembre 2026'!X84</f>
        <v>2</v>
      </c>
      <c r="Q3" s="323">
        <f>'Janvier 2026'!Y84+'Février 2026'!Y84+'Mars 2026'!Y84+'Avril 2026'!Y84+'Mai 2026'!Y84+'Juin 2026'!Y84+'Juillet 2026'!Y84+'Août 2026'!Y84+'Septembre 2026'!Y84+'Octobre 2026'!Y84+'Novembre 2026'!Y84+'Décembre 2026'!Y84</f>
        <v>74</v>
      </c>
      <c r="R3" s="323">
        <f>'Janvier 2026'!Z84+'Février 2026'!Z84+'Mars 2026'!Z84+'Avril 2026'!Z84+'Mai 2026'!Z84+'Juin 2026'!Z84+'Juillet 2026'!Z84+'Août 2026'!Z84+'Septembre 2026'!Z84+'Octobre 2026'!Z84+'Novembre 2026'!Z84+'Décembre 2026'!Z84</f>
        <v>0</v>
      </c>
      <c r="S3" s="323">
        <f>'Janvier 2026'!AA84+'Février 2026'!AA84+'Mars 2026'!AA84+'Avril 2026'!AA84+'Mai 2026'!AA84+'Juin 2026'!AA84+'Juillet 2026'!AA84+'Août 2026'!AA84+'Septembre 2026'!AA84+'Octobre 2026'!AA84+'Novembre 2026'!AA84+'Décembre 2026'!AA84</f>
        <v>0</v>
      </c>
      <c r="T3" s="323">
        <f>'Janvier 2026'!AB84+'Février 2026'!AB84+'Mars 2026'!AB84+'Avril 2026'!AB84+'Mai 2026'!AB84+'Juin 2026'!AB84+'Juillet 2026'!AB84+'Août 2026'!AB84+'Septembre 2026'!AB84+'Octobre 2026'!AB84+'Novembre 2026'!AB84+'Décembre 2026'!AB84</f>
        <v>19</v>
      </c>
      <c r="U3" s="323">
        <f>'Janvier 2026'!AC84+'Février 2026'!AC84+'Mars 2026'!AC84+'Avril 2026'!AC84+'Mai 2026'!AC84+'Juin 2026'!AC84+'Juillet 2026'!AC84+'Août 2026'!AC84+'Septembre 2026'!AC84+'Octobre 2026'!AC84+'Novembre 2026'!AC84+'Décembre 2026'!AC84</f>
        <v>4</v>
      </c>
      <c r="V3" s="323">
        <f>'Janvier 2026'!AD84+'Février 2026'!AD84+'Mars 2026'!AD84+'Avril 2026'!AD84+'Mai 2026'!AD84+'Juin 2026'!AD84+'Juillet 2026'!AD84+'Août 2026'!AD84+'Septembre 2026'!AD84+'Octobre 2026'!AD84+'Novembre 2026'!AD84+'Décembre 2026'!AD84</f>
        <v>0</v>
      </c>
      <c r="W3" s="323">
        <f>'Janvier 2026'!AE84+'Février 2026'!AE84+'Mars 2026'!AE84+'Avril 2026'!AE84+'Mai 2026'!AE84+'Juin 2026'!AE84+'Juillet 2026'!AE84+'Août 2026'!AE84+'Septembre 2026'!AE84+'Octobre 2026'!AE84+'Novembre 2026'!AE84+'Décembre 2026'!AE84</f>
        <v>14</v>
      </c>
      <c r="X3" s="323">
        <f>'Janvier 2026'!AF84+'Février 2026'!AF84+'Mars 2026'!AF84+'Avril 2026'!AF84+'Mai 2026'!AF84+'Juin 2026'!AF84+'Juillet 2026'!AF84+'Août 2026'!AF84+'Septembre 2026'!AF84+'Octobre 2026'!AF84+'Novembre 2026'!AF84+'Décembre 2026'!AF84</f>
        <v>21</v>
      </c>
      <c r="Y3" s="323">
        <f>'Janvier 2026'!AG84+'Février 2026'!AG84+'Mars 2026'!AG84+'Avril 2026'!AG84+'Mai 2026'!AG84+'Juin 2026'!AG84+'Juillet 2026'!AG84+'Août 2026'!AG84+'Septembre 2026'!AG84+'Octobre 2026'!AG84+'Novembre 2026'!AG84+'Décembre 2026'!AG84</f>
        <v>43</v>
      </c>
      <c r="Z3" s="324">
        <f>'Janvier 2026'!AH84+'Février 2026'!AH84+'Mars 2026'!AH84+'Avril 2026'!AH84+'Mai 2026'!AH84+'Juin 2026'!AH84+'Juillet 2026'!AH84+'Août 2026'!AH84+'Septembre 2026'!AH84+'Octobre 2026'!AH84+'Novembre 2026'!AH84+'Décembre 2026'!AH84</f>
        <v>0</v>
      </c>
      <c r="AB3" s="322">
        <f>'Janvier 2026'!D106+'Février 2026'!D106+'Mars 2026'!D106+'Avril 2026'!D106+'Mai 2026'!D106+'Juin 2026'!D106+'Juillet 2026'!D106+'Août 2026'!D106+'Septembre 2026'!D106+'Octobre 2026'!D106+'Novembre 2026'!D106+'Décembre 2026'!D106</f>
        <v>196</v>
      </c>
      <c r="AC3" s="323">
        <f>'Janvier 2026'!E106+'Février 2026'!E106+'Mars 2026'!E106+'Avril 2026'!E106+'Mai 2026'!E106+'Juin 2026'!E106+'Juillet 2026'!E106+'Août 2026'!E106+'Septembre 2026'!E106+'Octobre 2026'!E106+'Novembre 2026'!E106+'Décembre 2026'!E106</f>
        <v>3</v>
      </c>
      <c r="AD3" s="323">
        <f>'Janvier 2026'!F106+'Février 2026'!F106+'Mars 2026'!F106+'Avril 2026'!F106+'Mai 2026'!F106+'Juin 2026'!F106+'Juillet 2026'!F106+'Août 2026'!F106+'Septembre 2026'!F106+'Octobre 2026'!F106+'Novembre 2026'!F106+'Décembre 2026'!F106</f>
        <v>0</v>
      </c>
      <c r="AE3" s="323">
        <f>'Janvier 2026'!G106+'Février 2026'!G106+'Mars 2026'!G106+'Avril 2026'!G106+'Mai 2026'!G106+'Juin 2026'!G106+'Juillet 2026'!G106+'Août 2026'!G106+'Septembre 2026'!G106+'Octobre 2026'!G106+'Novembre 2026'!G106+'Décembre 2026'!G106</f>
        <v>41</v>
      </c>
      <c r="AF3" s="323">
        <f>'Janvier 2026'!H106+'Février 2026'!H106+'Mars 2026'!H106+'Avril 2026'!H106+'Mai 2026'!H106+'Juin 2026'!H106+'Juillet 2026'!H106+'Août 2026'!H106+'Septembre 2026'!H106+'Octobre 2026'!H106+'Novembre 2026'!H106+'Décembre 2026'!H106</f>
        <v>0</v>
      </c>
      <c r="AG3" s="323">
        <f>'Janvier 2026'!I106+'Février 2026'!I106+'Mars 2026'!I106+'Avril 2026'!I106+'Mai 2026'!I106+'Juin 2026'!I106+'Juillet 2026'!I106+'Août 2026'!I106+'Septembre 2026'!I106+'Octobre 2026'!I106+'Novembre 2026'!I106+'Décembre 2026'!I106</f>
        <v>16</v>
      </c>
      <c r="AH3" s="323">
        <f>'Janvier 2026'!J106+'Février 2026'!J106+'Mars 2026'!J106+'Avril 2026'!J106+'Mai 2026'!J106+'Juin 2026'!J106+'Juillet 2026'!J106+'Août 2026'!J106+'Septembre 2026'!J106+'Octobre 2026'!J106+'Novembre 2026'!J106+'Décembre 2026'!J106</f>
        <v>8</v>
      </c>
      <c r="AI3" s="323">
        <f>'Janvier 2026'!K106+'Février 2026'!K106+'Mars 2026'!K106+'Avril 2026'!K106+'Mai 2026'!K106+'Juin 2026'!K106+'Juillet 2026'!K106+'Août 2026'!K106+'Septembre 2026'!K106+'Octobre 2026'!K106+'Novembre 2026'!K106+'Décembre 2026'!K106</f>
        <v>0</v>
      </c>
      <c r="AJ3" s="323">
        <f>'Janvier 2026'!L106+'Février 2026'!L106+'Mars 2026'!L106+'Avril 2026'!L106+'Mai 2026'!L106+'Juin 2026'!L106+'Juillet 2026'!L106+'Août 2026'!L106+'Septembre 2026'!L106+'Octobre 2026'!L106+'Novembre 2026'!L106+'Décembre 2026'!L106</f>
        <v>0</v>
      </c>
      <c r="AK3" s="323">
        <f>'Janvier 2026'!M106+'Février 2026'!M106+'Mars 2026'!M106+'Avril 2026'!M106+'Mai 2026'!M106+'Juin 2026'!M106+'Juillet 2026'!M106+'Août 2026'!M106+'Septembre 2026'!M106+'Octobre 2026'!M106+'Novembre 2026'!M106+'Décembre 2026'!M106</f>
        <v>3</v>
      </c>
      <c r="AL3" s="323">
        <f>'Janvier 2026'!N106+'Février 2026'!N106+'Mars 2026'!N106+'Avril 2026'!N106+'Mai 2026'!N106+'Juin 2026'!N106+'Juillet 2026'!N106+'Août 2026'!N106+'Septembre 2026'!N106+'Octobre 2026'!N106+'Novembre 2026'!N106+'Décembre 2026'!N106</f>
        <v>0</v>
      </c>
      <c r="AM3" s="324">
        <f>'Janvier 2026'!O106+'Février 2026'!O106+'Mars 2026'!O106+'Avril 2026'!O106+'Mai 2026'!O106+'Juin 2026'!O106+'Juillet 2026'!O106+'Août 2026'!O106+'Septembre 2026'!O106+'Octobre 2026'!O106+'Novembre 2026'!O106+'Décembre 2026'!O106</f>
        <v>0</v>
      </c>
      <c r="AO3" s="322">
        <f>'Janvier 2026'!W106+'Février 2026'!W106+'Mars 2026'!W106+'Avril 2026'!W106+'Mai 2026'!W106+'Juin 2026'!W106+'Juillet 2026'!W106+'Août 2026'!W106+'Septembre 2026'!W106+'Octobre 2026'!W106+'Novembre 2026'!W106+'Décembre 2026'!W106</f>
        <v>7</v>
      </c>
      <c r="AP3" s="323">
        <f>'Janvier 2026'!X106+'Février 2026'!X106+'Mars 2026'!X106+'Avril 2026'!X106+'Mai 2026'!X106+'Juin 2026'!X106+'Juillet 2026'!X106+'Août 2026'!X106+'Septembre 2026'!X106+'Octobre 2026'!X106+'Novembre 2026'!X106+'Décembre 2026'!X106</f>
        <v>0</v>
      </c>
      <c r="AQ3" s="323">
        <f>'Janvier 2026'!Y106+'Février 2026'!Y106+'Mars 2026'!Y106+'Avril 2026'!Y106+'Mai 2026'!Y106+'Juin 2026'!Y106+'Juillet 2026'!Y106+'Août 2026'!Y106+'Septembre 2026'!Y106+'Octobre 2026'!Y106+'Novembre 2026'!Y106+'Décembre 2026'!Y106</f>
        <v>0</v>
      </c>
      <c r="AR3" s="323">
        <f>'Janvier 2026'!Z106+'Février 2026'!Z106+'Mars 2026'!Z106+'Avril 2026'!Z106+'Mai 2026'!Z106+'Juin 2026'!Z106+'Juillet 2026'!Z106+'Août 2026'!Z106+'Septembre 2026'!Z106+'Octobre 2026'!Z106+'Novembre 2026'!Z106+'Décembre 2026'!Z106</f>
        <v>0</v>
      </c>
      <c r="AS3" s="323">
        <f>'Janvier 2026'!AA106+'Février 2026'!AA106+'Mars 2026'!AA106+'Avril 2026'!AA106+'Mai 2026'!AA106+'Juin 2026'!AA106+'Juillet 2026'!AA106+'Août 2026'!AA106+'Septembre 2026'!AA106+'Octobre 2026'!AA106+'Novembre 2026'!AA106+'Décembre 2026'!AA106</f>
        <v>0</v>
      </c>
      <c r="AT3" s="323">
        <f>'Janvier 2026'!AB106+'Février 2026'!AB106+'Mars 2026'!AB106+'Avril 2026'!AB106+'Mai 2026'!AB106+'Juin 2026'!AB106+'Juillet 2026'!AB106+'Août 2026'!AB106+'Septembre 2026'!AB106+'Octobre 2026'!AB106+'Novembre 2026'!AB106+'Décembre 2026'!AB106</f>
        <v>0</v>
      </c>
      <c r="AU3" s="323">
        <f>'Janvier 2026'!AC106+'Février 2026'!AC106+'Mars 2026'!AC106+'Avril 2026'!AC106+'Mai 2026'!AC106+'Juin 2026'!AC106+'Juillet 2026'!AC106+'Août 2026'!AC106+'Septembre 2026'!AC106+'Octobre 2026'!AC106+'Novembre 2026'!AC106+'Décembre 2026'!AC106</f>
        <v>5</v>
      </c>
      <c r="AV3" s="323">
        <f>'Janvier 2026'!AD106+'Février 2026'!AD106+'Mars 2026'!AD106+'Avril 2026'!AD106+'Mai 2026'!AD106+'Juin 2026'!AD106+'Juillet 2026'!AD106+'Août 2026'!AD106+'Septembre 2026'!AD106+'Octobre 2026'!AD106+'Novembre 2026'!AD106+'Décembre 2026'!AD106</f>
        <v>0</v>
      </c>
      <c r="AW3" s="323">
        <f>'Janvier 2026'!AE106+'Février 2026'!AE106+'Mars 2026'!AE106+'Avril 2026'!AE106+'Mai 2026'!AE106+'Juin 2026'!AE106+'Juillet 2026'!AE106+'Août 2026'!AE106+'Septembre 2026'!AE106+'Octobre 2026'!AE106+'Novembre 2026'!AE106+'Décembre 2026'!AE106</f>
        <v>0</v>
      </c>
      <c r="AX3" s="323">
        <f>'Janvier 2026'!AF106+'Février 2026'!AF106+'Mars 2026'!AF106+'Avril 2026'!AF106+'Mai 2026'!AF106+'Juin 2026'!AF106+'Juillet 2026'!AF106+'Août 2026'!AF106+'Septembre 2026'!AF106+'Octobre 2026'!AF106+'Novembre 2026'!AF106+'Décembre 2026'!AF106</f>
        <v>11</v>
      </c>
      <c r="AY3" s="323">
        <f>'Janvier 2026'!AG106+'Février 2026'!AG106+'Mars 2026'!AG106+'Avril 2026'!AG106+'Mai 2026'!AG106+'Juin 2026'!AG106+'Juillet 2026'!AG106+'Août 2026'!AG106+'Septembre 2026'!AG106+'Octobre 2026'!AG106+'Novembre 2026'!AG106+'Décembre 2026'!AG106</f>
        <v>0</v>
      </c>
      <c r="AZ3" s="324">
        <f>'Janvier 2026'!AH106+'Février 2026'!AH106+'Mars 2026'!AH106+'Avril 2026'!AH106+'Mai 2026'!AH106+'Juin 2026'!AH106+'Juillet 2026'!AH106+'Août 2026'!AH106+'Septembre 2026'!AH106+'Octobre 2026'!AH106+'Novembre 2026'!AH106+'Décembre 2026'!AH106</f>
        <v>11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5">
    <outlinePr summaryRight="0"/>
  </sheetPr>
  <dimension ref="A1:AU106"/>
  <sheetViews>
    <sheetView zoomScaleNormal="100" workbookViewId="0">
      <pane ySplit="10" topLeftCell="A11" activePane="bottomLeft" state="frozen"/>
      <selection activeCell="B1" sqref="B1"/>
      <selection pane="bottomLeft" activeCell="L12" sqref="L12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Menu!D21</f>
        <v>45992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Menu!E21</f>
        <v>46022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45992</v>
      </c>
      <c r="E4" s="55">
        <f t="shared" ref="E4:AH4" si="0">D4+1</f>
        <v>45993</v>
      </c>
      <c r="F4" s="55">
        <f t="shared" si="0"/>
        <v>45994</v>
      </c>
      <c r="G4" s="55">
        <f t="shared" si="0"/>
        <v>45995</v>
      </c>
      <c r="H4" s="55">
        <f t="shared" si="0"/>
        <v>45996</v>
      </c>
      <c r="I4" s="55">
        <f t="shared" si="0"/>
        <v>45997</v>
      </c>
      <c r="J4" s="55">
        <f t="shared" si="0"/>
        <v>45998</v>
      </c>
      <c r="K4" s="55">
        <f t="shared" si="0"/>
        <v>45999</v>
      </c>
      <c r="L4" s="55">
        <f t="shared" si="0"/>
        <v>46000</v>
      </c>
      <c r="M4" s="55">
        <f t="shared" si="0"/>
        <v>46001</v>
      </c>
      <c r="N4" s="55">
        <f t="shared" si="0"/>
        <v>46002</v>
      </c>
      <c r="O4" s="55">
        <f t="shared" si="0"/>
        <v>46003</v>
      </c>
      <c r="P4" s="55">
        <f t="shared" si="0"/>
        <v>46004</v>
      </c>
      <c r="Q4" s="55">
        <f t="shared" si="0"/>
        <v>46005</v>
      </c>
      <c r="R4" s="55">
        <f t="shared" si="0"/>
        <v>46006</v>
      </c>
      <c r="S4" s="55">
        <f t="shared" si="0"/>
        <v>46007</v>
      </c>
      <c r="T4" s="55">
        <f t="shared" si="0"/>
        <v>46008</v>
      </c>
      <c r="U4" s="55">
        <f t="shared" si="0"/>
        <v>46009</v>
      </c>
      <c r="V4" s="55">
        <f t="shared" si="0"/>
        <v>46010</v>
      </c>
      <c r="W4" s="55">
        <f t="shared" si="0"/>
        <v>46011</v>
      </c>
      <c r="X4" s="55">
        <f t="shared" si="0"/>
        <v>46012</v>
      </c>
      <c r="Y4" s="55">
        <f t="shared" si="0"/>
        <v>46013</v>
      </c>
      <c r="Z4" s="55">
        <f t="shared" si="0"/>
        <v>46014</v>
      </c>
      <c r="AA4" s="55">
        <f t="shared" si="0"/>
        <v>46015</v>
      </c>
      <c r="AB4" s="55">
        <f t="shared" si="0"/>
        <v>46016</v>
      </c>
      <c r="AC4" s="55">
        <f t="shared" si="0"/>
        <v>46017</v>
      </c>
      <c r="AD4" s="55">
        <f t="shared" si="0"/>
        <v>46018</v>
      </c>
      <c r="AE4" s="55">
        <f t="shared" si="0"/>
        <v>46019</v>
      </c>
      <c r="AF4" s="55">
        <f t="shared" si="0"/>
        <v>46020</v>
      </c>
      <c r="AG4" s="55">
        <f t="shared" si="0"/>
        <v>46021</v>
      </c>
      <c r="AH4" s="55">
        <f t="shared" si="0"/>
        <v>46022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décembre-2025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2</v>
      </c>
      <c r="E9" s="74">
        <f t="shared" si="1"/>
        <v>3</v>
      </c>
      <c r="F9" s="74">
        <f t="shared" si="1"/>
        <v>4</v>
      </c>
      <c r="G9" s="74">
        <f t="shared" si="1"/>
        <v>5</v>
      </c>
      <c r="H9" s="74">
        <f t="shared" si="1"/>
        <v>6</v>
      </c>
      <c r="I9" s="74">
        <f t="shared" si="1"/>
        <v>7</v>
      </c>
      <c r="J9" s="74">
        <f t="shared" si="1"/>
        <v>1</v>
      </c>
      <c r="K9" s="74">
        <f t="shared" si="1"/>
        <v>2</v>
      </c>
      <c r="L9" s="74">
        <f t="shared" si="1"/>
        <v>3</v>
      </c>
      <c r="M9" s="74">
        <f t="shared" si="1"/>
        <v>4</v>
      </c>
      <c r="N9" s="74">
        <f t="shared" si="1"/>
        <v>5</v>
      </c>
      <c r="O9" s="74">
        <f t="shared" si="1"/>
        <v>6</v>
      </c>
      <c r="P9" s="74">
        <f t="shared" si="1"/>
        <v>7</v>
      </c>
      <c r="Q9" s="74">
        <f t="shared" si="1"/>
        <v>1</v>
      </c>
      <c r="R9" s="74">
        <f t="shared" si="1"/>
        <v>2</v>
      </c>
      <c r="S9" s="74">
        <f t="shared" si="1"/>
        <v>3</v>
      </c>
      <c r="T9" s="74">
        <f t="shared" si="1"/>
        <v>4</v>
      </c>
      <c r="U9" s="74">
        <f t="shared" si="1"/>
        <v>5</v>
      </c>
      <c r="V9" s="74">
        <f t="shared" si="1"/>
        <v>6</v>
      </c>
      <c r="W9" s="74">
        <f t="shared" si="1"/>
        <v>7</v>
      </c>
      <c r="X9" s="74">
        <f t="shared" si="1"/>
        <v>1</v>
      </c>
      <c r="Y9" s="74">
        <f t="shared" si="1"/>
        <v>2</v>
      </c>
      <c r="Z9" s="74">
        <f t="shared" si="1"/>
        <v>3</v>
      </c>
      <c r="AA9" s="74">
        <f t="shared" si="1"/>
        <v>4</v>
      </c>
      <c r="AB9" s="74">
        <f t="shared" si="1"/>
        <v>5</v>
      </c>
      <c r="AC9" s="74">
        <f t="shared" si="1"/>
        <v>6</v>
      </c>
      <c r="AD9" s="74">
        <f t="shared" si="1"/>
        <v>7</v>
      </c>
      <c r="AE9" s="74">
        <f t="shared" si="1"/>
        <v>1</v>
      </c>
      <c r="AF9" s="74">
        <f t="shared" si="1"/>
        <v>2</v>
      </c>
      <c r="AG9" s="74">
        <f t="shared" si="1"/>
        <v>3</v>
      </c>
      <c r="AH9" s="179">
        <f t="shared" si="1"/>
        <v>4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0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0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0</v>
      </c>
      <c r="G84" s="102">
        <f>COUNTIF(D11:AH36,"f")</f>
        <v>0</v>
      </c>
      <c r="H84" s="102">
        <f>COUNTIF(D11:AH36,"ast")</f>
        <v>0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0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0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R5:AR9"/>
    <mergeCell ref="D5:AH7"/>
    <mergeCell ref="AQ5:AQ9"/>
    <mergeCell ref="AU5:AU9"/>
    <mergeCell ref="AK5:AK9"/>
    <mergeCell ref="AI5:AI9"/>
    <mergeCell ref="AL5:AL9"/>
    <mergeCell ref="AM5:AM9"/>
    <mergeCell ref="AP5:AP9"/>
    <mergeCell ref="AO5:AO9"/>
    <mergeCell ref="AS5:AS9"/>
    <mergeCell ref="AT5:AT9"/>
    <mergeCell ref="AJ5:AJ9"/>
    <mergeCell ref="AN5:AN9"/>
  </mergeCells>
  <conditionalFormatting sqref="D12:AH12 D14:AH14 D17:AH17 D19:AH19 D21:AH21 D23:AH24 D26:AH29 D31:AH31 D33:AH34 D36:AH48 D50:AH59 D62:AH72 D76:AH77 D79:AH80">
    <cfRule type="containsText" dxfId="266" priority="3" operator="containsText" text="AH">
      <formula>NOT(ISERROR(SEARCH("AH",D12)))</formula>
    </cfRule>
    <cfRule type="containsText" dxfId="265" priority="4" operator="containsText" text="TP">
      <formula>NOT(ISERROR(SEARCH("TP",D12)))</formula>
    </cfRule>
    <cfRule type="containsText" dxfId="264" priority="5" operator="containsText" text="TAD">
      <formula>NOT(ISERROR(SEARCH("TAD",D12)))</formula>
    </cfRule>
    <cfRule type="containsText" dxfId="263" priority="6" operator="containsText" text="AT">
      <formula>NOT(ISERROR(SEARCH("AT",D12)))</formula>
    </cfRule>
    <cfRule type="containsText" dxfId="262" priority="7" operator="containsText" text="MA">
      <formula>NOT(ISERROR(SEARCH("MA",D12)))</formula>
    </cfRule>
    <cfRule type="containsText" dxfId="261" priority="8" operator="containsText" text="RES">
      <formula>NOT(ISERROR(SEARCH("RES",D12)))</formula>
    </cfRule>
    <cfRule type="containsText" dxfId="260" priority="9" operator="containsText" text="CEX">
      <formula>NOT(ISERROR(SEARCH("CEX",D12)))</formula>
    </cfRule>
    <cfRule type="containsText" dxfId="259" priority="10" operator="containsText" text="RTT">
      <formula>NOT(ISERROR(SEARCH("RTT",D12)))</formula>
    </cfRule>
    <cfRule type="beginsWith" dxfId="258" priority="11" operator="beginsWith" text="CA">
      <formula>LEFT(D12,LEN("CA"))="CA"</formula>
    </cfRule>
    <cfRule type="containsText" dxfId="257" priority="12" operator="containsText" text="AST">
      <formula>NOT(ISERROR(SEARCH("AST",D12)))</formula>
    </cfRule>
    <cfRule type="containsText" dxfId="256" priority="13" operator="containsText" text="F">
      <formula>NOT(ISERROR(SEARCH("F",D12)))</formula>
    </cfRule>
    <cfRule type="containsText" dxfId="255" priority="14" operator="containsText" text="PC">
      <formula>NOT(ISERROR(SEARCH("PC",D12)))</formula>
    </cfRule>
    <cfRule type="containsText" dxfId="254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25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52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00000000-0002-0000-0200-000000000000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F8BD7-AE5A-4F32-B2F1-8F5935323A8F}">
  <sheetPr codeName="Feuil17">
    <outlinePr summaryRight="0"/>
  </sheetPr>
  <dimension ref="A1:AU106"/>
  <sheetViews>
    <sheetView topLeftCell="B1" zoomScaleNormal="100" workbookViewId="0">
      <pane ySplit="10" topLeftCell="A79" activePane="bottomLeft" state="frozen"/>
      <selection activeCell="B1" sqref="B1"/>
      <selection pane="bottomLeft" activeCell="D83" sqref="D83:P83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Menu!D21</f>
        <v>45992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Menu!E21</f>
        <v>46022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45992</v>
      </c>
      <c r="E4" s="55">
        <f t="shared" ref="E4:AH4" si="0">D4+1</f>
        <v>45993</v>
      </c>
      <c r="F4" s="55">
        <f t="shared" si="0"/>
        <v>45994</v>
      </c>
      <c r="G4" s="55">
        <f t="shared" si="0"/>
        <v>45995</v>
      </c>
      <c r="H4" s="55">
        <f t="shared" si="0"/>
        <v>45996</v>
      </c>
      <c r="I4" s="55">
        <f t="shared" si="0"/>
        <v>45997</v>
      </c>
      <c r="J4" s="55">
        <f t="shared" si="0"/>
        <v>45998</v>
      </c>
      <c r="K4" s="55">
        <f t="shared" si="0"/>
        <v>45999</v>
      </c>
      <c r="L4" s="55">
        <f t="shared" si="0"/>
        <v>46000</v>
      </c>
      <c r="M4" s="55">
        <f t="shared" si="0"/>
        <v>46001</v>
      </c>
      <c r="N4" s="55">
        <f t="shared" si="0"/>
        <v>46002</v>
      </c>
      <c r="O4" s="55">
        <f t="shared" si="0"/>
        <v>46003</v>
      </c>
      <c r="P4" s="55">
        <f t="shared" si="0"/>
        <v>46004</v>
      </c>
      <c r="Q4" s="55">
        <f t="shared" si="0"/>
        <v>46005</v>
      </c>
      <c r="R4" s="55">
        <f t="shared" si="0"/>
        <v>46006</v>
      </c>
      <c r="S4" s="55">
        <f t="shared" si="0"/>
        <v>46007</v>
      </c>
      <c r="T4" s="55">
        <f t="shared" si="0"/>
        <v>46008</v>
      </c>
      <c r="U4" s="55">
        <f t="shared" si="0"/>
        <v>46009</v>
      </c>
      <c r="V4" s="55">
        <f t="shared" si="0"/>
        <v>46010</v>
      </c>
      <c r="W4" s="55">
        <f t="shared" si="0"/>
        <v>46011</v>
      </c>
      <c r="X4" s="55">
        <f t="shared" si="0"/>
        <v>46012</v>
      </c>
      <c r="Y4" s="55">
        <f t="shared" si="0"/>
        <v>46013</v>
      </c>
      <c r="Z4" s="55">
        <f t="shared" si="0"/>
        <v>46014</v>
      </c>
      <c r="AA4" s="55">
        <f t="shared" si="0"/>
        <v>46015</v>
      </c>
      <c r="AB4" s="55">
        <f t="shared" si="0"/>
        <v>46016</v>
      </c>
      <c r="AC4" s="55">
        <f t="shared" si="0"/>
        <v>46017</v>
      </c>
      <c r="AD4" s="55">
        <f t="shared" si="0"/>
        <v>46018</v>
      </c>
      <c r="AE4" s="55">
        <f t="shared" si="0"/>
        <v>46019</v>
      </c>
      <c r="AF4" s="55">
        <f t="shared" si="0"/>
        <v>46020</v>
      </c>
      <c r="AG4" s="55">
        <f t="shared" si="0"/>
        <v>46021</v>
      </c>
      <c r="AH4" s="55">
        <f t="shared" si="0"/>
        <v>46022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décembre-2025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2</v>
      </c>
      <c r="E9" s="74">
        <f t="shared" si="1"/>
        <v>3</v>
      </c>
      <c r="F9" s="74">
        <f t="shared" si="1"/>
        <v>4</v>
      </c>
      <c r="G9" s="74">
        <f t="shared" si="1"/>
        <v>5</v>
      </c>
      <c r="H9" s="74">
        <f t="shared" si="1"/>
        <v>6</v>
      </c>
      <c r="I9" s="74">
        <f t="shared" si="1"/>
        <v>7</v>
      </c>
      <c r="J9" s="74">
        <f t="shared" si="1"/>
        <v>1</v>
      </c>
      <c r="K9" s="74">
        <f t="shared" si="1"/>
        <v>2</v>
      </c>
      <c r="L9" s="74">
        <f t="shared" si="1"/>
        <v>3</v>
      </c>
      <c r="M9" s="74">
        <f t="shared" si="1"/>
        <v>4</v>
      </c>
      <c r="N9" s="74">
        <f t="shared" si="1"/>
        <v>5</v>
      </c>
      <c r="O9" s="74">
        <f t="shared" si="1"/>
        <v>6</v>
      </c>
      <c r="P9" s="74">
        <f t="shared" si="1"/>
        <v>7</v>
      </c>
      <c r="Q9" s="74">
        <f t="shared" si="1"/>
        <v>1</v>
      </c>
      <c r="R9" s="74">
        <f t="shared" si="1"/>
        <v>2</v>
      </c>
      <c r="S9" s="74">
        <f t="shared" si="1"/>
        <v>3</v>
      </c>
      <c r="T9" s="74">
        <f t="shared" si="1"/>
        <v>4</v>
      </c>
      <c r="U9" s="74">
        <f t="shared" si="1"/>
        <v>5</v>
      </c>
      <c r="V9" s="74">
        <f t="shared" si="1"/>
        <v>6</v>
      </c>
      <c r="W9" s="74">
        <f t="shared" si="1"/>
        <v>7</v>
      </c>
      <c r="X9" s="74">
        <f t="shared" si="1"/>
        <v>1</v>
      </c>
      <c r="Y9" s="74">
        <f t="shared" si="1"/>
        <v>2</v>
      </c>
      <c r="Z9" s="74">
        <f t="shared" si="1"/>
        <v>3</v>
      </c>
      <c r="AA9" s="74">
        <f t="shared" si="1"/>
        <v>4</v>
      </c>
      <c r="AB9" s="74">
        <f t="shared" si="1"/>
        <v>5</v>
      </c>
      <c r="AC9" s="74">
        <f t="shared" si="1"/>
        <v>6</v>
      </c>
      <c r="AD9" s="74">
        <f t="shared" si="1"/>
        <v>7</v>
      </c>
      <c r="AE9" s="74">
        <f t="shared" si="1"/>
        <v>1</v>
      </c>
      <c r="AF9" s="74">
        <f t="shared" si="1"/>
        <v>2</v>
      </c>
      <c r="AG9" s="74">
        <f t="shared" si="1"/>
        <v>3</v>
      </c>
      <c r="AH9" s="179">
        <f t="shared" si="1"/>
        <v>4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0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0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0</v>
      </c>
      <c r="G84" s="102">
        <f>COUNTIF(D11:AH36,"f")</f>
        <v>0</v>
      </c>
      <c r="H84" s="102">
        <f>COUNTIF(D11:AH36,"ast")</f>
        <v>0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0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0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1:AH21 D23:AH24 D26:AH29 D31:AH31 D33:AH34 D36:AH48 D50:AH59 D62:AH72 D76:AH77 D79:AH80">
    <cfRule type="containsText" dxfId="251" priority="3" operator="containsText" text="AH">
      <formula>NOT(ISERROR(SEARCH("AH",D12)))</formula>
    </cfRule>
    <cfRule type="containsText" dxfId="250" priority="4" operator="containsText" text="TP">
      <formula>NOT(ISERROR(SEARCH("TP",D12)))</formula>
    </cfRule>
    <cfRule type="containsText" dxfId="249" priority="5" operator="containsText" text="TAD">
      <formula>NOT(ISERROR(SEARCH("TAD",D12)))</formula>
    </cfRule>
    <cfRule type="containsText" dxfId="248" priority="6" operator="containsText" text="AT">
      <formula>NOT(ISERROR(SEARCH("AT",D12)))</formula>
    </cfRule>
    <cfRule type="containsText" dxfId="247" priority="7" operator="containsText" text="MA">
      <formula>NOT(ISERROR(SEARCH("MA",D12)))</formula>
    </cfRule>
    <cfRule type="containsText" dxfId="246" priority="8" operator="containsText" text="RES">
      <formula>NOT(ISERROR(SEARCH("RES",D12)))</formula>
    </cfRule>
    <cfRule type="containsText" dxfId="245" priority="9" operator="containsText" text="CEX">
      <formula>NOT(ISERROR(SEARCH("CEX",D12)))</formula>
    </cfRule>
    <cfRule type="containsText" dxfId="244" priority="10" operator="containsText" text="RTT">
      <formula>NOT(ISERROR(SEARCH("RTT",D12)))</formula>
    </cfRule>
    <cfRule type="beginsWith" dxfId="243" priority="11" operator="beginsWith" text="CA">
      <formula>LEFT(D12,LEN("CA"))="CA"</formula>
    </cfRule>
    <cfRule type="containsText" dxfId="242" priority="12" operator="containsText" text="AST">
      <formula>NOT(ISERROR(SEARCH("AST",D12)))</formula>
    </cfRule>
    <cfRule type="containsText" dxfId="241" priority="13" operator="containsText" text="F">
      <formula>NOT(ISERROR(SEARCH("F",D12)))</formula>
    </cfRule>
    <cfRule type="containsText" dxfId="240" priority="14" operator="containsText" text="PC">
      <formula>NOT(ISERROR(SEARCH("PC",D12)))</formula>
    </cfRule>
    <cfRule type="containsText" dxfId="239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238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37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9D191B06-C257-4B4C-B443-5A0DDEF49EF6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38408-8396-46CB-B26A-49483048937A}">
  <sheetPr codeName="Feuil18">
    <outlinePr summaryRight="0"/>
  </sheetPr>
  <dimension ref="A1:AU106"/>
  <sheetViews>
    <sheetView zoomScaleNormal="100" workbookViewId="0">
      <pane ySplit="10" topLeftCell="A54" activePane="bottomLeft" state="frozen"/>
      <selection activeCell="B1" sqref="B1"/>
      <selection pane="bottomLeft" activeCell="D105" sqref="D105:O105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4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Menu!D22</f>
        <v>46023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Menu!E22</f>
        <v>46053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46023</v>
      </c>
      <c r="E4" s="55">
        <f t="shared" ref="E4:AH4" si="0">D4+1</f>
        <v>46024</v>
      </c>
      <c r="F4" s="55">
        <f t="shared" si="0"/>
        <v>46025</v>
      </c>
      <c r="G4" s="55">
        <f t="shared" si="0"/>
        <v>46026</v>
      </c>
      <c r="H4" s="55">
        <f t="shared" si="0"/>
        <v>46027</v>
      </c>
      <c r="I4" s="55">
        <f t="shared" si="0"/>
        <v>46028</v>
      </c>
      <c r="J4" s="55">
        <f t="shared" si="0"/>
        <v>46029</v>
      </c>
      <c r="K4" s="55">
        <f t="shared" si="0"/>
        <v>46030</v>
      </c>
      <c r="L4" s="55">
        <f t="shared" si="0"/>
        <v>46031</v>
      </c>
      <c r="M4" s="55">
        <f t="shared" si="0"/>
        <v>46032</v>
      </c>
      <c r="N4" s="55">
        <f t="shared" si="0"/>
        <v>46033</v>
      </c>
      <c r="O4" s="55">
        <f t="shared" si="0"/>
        <v>46034</v>
      </c>
      <c r="P4" s="55">
        <f t="shared" si="0"/>
        <v>46035</v>
      </c>
      <c r="Q4" s="55">
        <f t="shared" si="0"/>
        <v>46036</v>
      </c>
      <c r="R4" s="55">
        <f t="shared" si="0"/>
        <v>46037</v>
      </c>
      <c r="S4" s="55">
        <f t="shared" si="0"/>
        <v>46038</v>
      </c>
      <c r="T4" s="55">
        <f t="shared" si="0"/>
        <v>46039</v>
      </c>
      <c r="U4" s="55">
        <f t="shared" si="0"/>
        <v>46040</v>
      </c>
      <c r="V4" s="55">
        <f t="shared" si="0"/>
        <v>46041</v>
      </c>
      <c r="W4" s="55">
        <f t="shared" si="0"/>
        <v>46042</v>
      </c>
      <c r="X4" s="55">
        <f t="shared" si="0"/>
        <v>46043</v>
      </c>
      <c r="Y4" s="55">
        <f t="shared" si="0"/>
        <v>46044</v>
      </c>
      <c r="Z4" s="55">
        <f t="shared" si="0"/>
        <v>46045</v>
      </c>
      <c r="AA4" s="55">
        <f t="shared" si="0"/>
        <v>46046</v>
      </c>
      <c r="AB4" s="55">
        <f t="shared" si="0"/>
        <v>46047</v>
      </c>
      <c r="AC4" s="55">
        <f t="shared" si="0"/>
        <v>46048</v>
      </c>
      <c r="AD4" s="55">
        <f t="shared" si="0"/>
        <v>46049</v>
      </c>
      <c r="AE4" s="55">
        <f t="shared" si="0"/>
        <v>46050</v>
      </c>
      <c r="AF4" s="55">
        <f t="shared" si="0"/>
        <v>46051</v>
      </c>
      <c r="AG4" s="55">
        <f t="shared" si="0"/>
        <v>46052</v>
      </c>
      <c r="AH4" s="55">
        <f t="shared" si="0"/>
        <v>46053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janvier-2026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5</v>
      </c>
      <c r="E9" s="74">
        <f t="shared" si="1"/>
        <v>6</v>
      </c>
      <c r="F9" s="74">
        <f t="shared" si="1"/>
        <v>7</v>
      </c>
      <c r="G9" s="74">
        <f t="shared" si="1"/>
        <v>1</v>
      </c>
      <c r="H9" s="74">
        <f t="shared" si="1"/>
        <v>2</v>
      </c>
      <c r="I9" s="74">
        <f t="shared" si="1"/>
        <v>3</v>
      </c>
      <c r="J9" s="74">
        <f t="shared" si="1"/>
        <v>4</v>
      </c>
      <c r="K9" s="74">
        <f t="shared" si="1"/>
        <v>5</v>
      </c>
      <c r="L9" s="74">
        <f t="shared" si="1"/>
        <v>6</v>
      </c>
      <c r="M9" s="74">
        <f t="shared" si="1"/>
        <v>7</v>
      </c>
      <c r="N9" s="74">
        <f t="shared" si="1"/>
        <v>1</v>
      </c>
      <c r="O9" s="74">
        <f t="shared" si="1"/>
        <v>2</v>
      </c>
      <c r="P9" s="74">
        <f t="shared" si="1"/>
        <v>3</v>
      </c>
      <c r="Q9" s="74">
        <f t="shared" si="1"/>
        <v>4</v>
      </c>
      <c r="R9" s="74">
        <f t="shared" si="1"/>
        <v>5</v>
      </c>
      <c r="S9" s="74">
        <f t="shared" si="1"/>
        <v>6</v>
      </c>
      <c r="T9" s="74">
        <f t="shared" si="1"/>
        <v>7</v>
      </c>
      <c r="U9" s="74">
        <f t="shared" si="1"/>
        <v>1</v>
      </c>
      <c r="V9" s="74">
        <f t="shared" si="1"/>
        <v>2</v>
      </c>
      <c r="W9" s="74">
        <f t="shared" si="1"/>
        <v>3</v>
      </c>
      <c r="X9" s="74">
        <f t="shared" si="1"/>
        <v>4</v>
      </c>
      <c r="Y9" s="74">
        <f t="shared" si="1"/>
        <v>5</v>
      </c>
      <c r="Z9" s="74">
        <f t="shared" si="1"/>
        <v>6</v>
      </c>
      <c r="AA9" s="74">
        <f t="shared" si="1"/>
        <v>7</v>
      </c>
      <c r="AB9" s="74">
        <f t="shared" si="1"/>
        <v>1</v>
      </c>
      <c r="AC9" s="74">
        <f t="shared" si="1"/>
        <v>2</v>
      </c>
      <c r="AD9" s="74">
        <f t="shared" si="1"/>
        <v>3</v>
      </c>
      <c r="AE9" s="74">
        <f t="shared" si="1"/>
        <v>4</v>
      </c>
      <c r="AF9" s="74">
        <f t="shared" si="1"/>
        <v>5</v>
      </c>
      <c r="AG9" s="74">
        <f t="shared" si="1"/>
        <v>6</v>
      </c>
      <c r="AH9" s="179">
        <f t="shared" si="1"/>
        <v>7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 t="s">
        <v>224</v>
      </c>
      <c r="F12" s="78"/>
      <c r="G12" s="78"/>
      <c r="H12" s="78" t="s">
        <v>231</v>
      </c>
      <c r="I12" s="78" t="s">
        <v>231</v>
      </c>
      <c r="J12" s="78" t="s">
        <v>231</v>
      </c>
      <c r="K12" s="78"/>
      <c r="L12" s="78" t="s">
        <v>236</v>
      </c>
      <c r="M12" s="78"/>
      <c r="N12" s="78"/>
      <c r="O12" s="78" t="s">
        <v>236</v>
      </c>
      <c r="P12" s="78" t="s">
        <v>236</v>
      </c>
      <c r="Q12" s="78" t="s">
        <v>236</v>
      </c>
      <c r="R12" s="78" t="s">
        <v>236</v>
      </c>
      <c r="S12" s="78" t="s">
        <v>224</v>
      </c>
      <c r="T12" s="78"/>
      <c r="U12" s="78"/>
      <c r="V12" s="78" t="s">
        <v>224</v>
      </c>
      <c r="W12" s="78" t="s">
        <v>224</v>
      </c>
      <c r="X12" s="78" t="s">
        <v>224</v>
      </c>
      <c r="Y12" s="78" t="s">
        <v>224</v>
      </c>
      <c r="Z12" s="78" t="s">
        <v>224</v>
      </c>
      <c r="AA12" s="78"/>
      <c r="AB12" s="78"/>
      <c r="AC12" s="78" t="s">
        <v>224</v>
      </c>
      <c r="AD12" s="78"/>
      <c r="AE12" s="78"/>
      <c r="AF12" s="78"/>
      <c r="AG12" s="78"/>
      <c r="AH12" s="78"/>
      <c r="AI12" s="183">
        <f>COUNTIF(D12:AG12,"p")</f>
        <v>3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5</v>
      </c>
      <c r="AO12" s="188">
        <f>COUNTIF(D12:AG12,"rtt")</f>
        <v>8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 t="s">
        <v>231</v>
      </c>
      <c r="F14" s="78"/>
      <c r="G14" s="78"/>
      <c r="H14" s="78" t="s">
        <v>231</v>
      </c>
      <c r="I14" s="78" t="s">
        <v>231</v>
      </c>
      <c r="J14" s="78" t="s">
        <v>231</v>
      </c>
      <c r="K14" s="78" t="s">
        <v>231</v>
      </c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5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 t="s">
        <v>236</v>
      </c>
      <c r="F17" s="78"/>
      <c r="G17" s="78"/>
      <c r="H17" s="78" t="s">
        <v>236</v>
      </c>
      <c r="I17" s="78" t="s">
        <v>231</v>
      </c>
      <c r="J17" s="78" t="s">
        <v>231</v>
      </c>
      <c r="K17" s="78" t="s">
        <v>231</v>
      </c>
      <c r="L17" s="78" t="s">
        <v>237</v>
      </c>
      <c r="M17" s="78"/>
      <c r="N17" s="78"/>
      <c r="O17" s="78" t="s">
        <v>241</v>
      </c>
      <c r="P17" s="78"/>
      <c r="Q17" s="78"/>
      <c r="R17" s="78"/>
      <c r="S17" s="78" t="s">
        <v>236</v>
      </c>
      <c r="T17" s="78"/>
      <c r="U17" s="78"/>
      <c r="V17" s="78" t="s">
        <v>241</v>
      </c>
      <c r="W17" s="78"/>
      <c r="X17" s="78"/>
      <c r="Y17" s="78"/>
      <c r="Z17" s="78" t="s">
        <v>237</v>
      </c>
      <c r="AA17" s="78"/>
      <c r="AB17" s="78"/>
      <c r="AC17" s="78" t="s">
        <v>241</v>
      </c>
      <c r="AD17" s="78"/>
      <c r="AE17" s="78"/>
      <c r="AF17" s="78" t="s">
        <v>236</v>
      </c>
      <c r="AG17" s="78" t="s">
        <v>236</v>
      </c>
      <c r="AH17" s="78"/>
      <c r="AI17" s="183">
        <f>COUNTIF(D17:AG17,"p")</f>
        <v>3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5</v>
      </c>
      <c r="AO17" s="188">
        <f>COUNTIF(D17:AG17,"rtt")</f>
        <v>0</v>
      </c>
      <c r="AP17" s="189">
        <f>COUNTIF(D17:AG17,"cex")</f>
        <v>2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3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 t="s">
        <v>224</v>
      </c>
      <c r="F19" s="78"/>
      <c r="G19" s="78"/>
      <c r="H19" s="78" t="s">
        <v>231</v>
      </c>
      <c r="I19" s="78" t="s">
        <v>231</v>
      </c>
      <c r="J19" s="78" t="s">
        <v>231</v>
      </c>
      <c r="K19" s="78" t="s">
        <v>231</v>
      </c>
      <c r="L19" s="78" t="s">
        <v>241</v>
      </c>
      <c r="M19" s="78"/>
      <c r="N19" s="78"/>
      <c r="O19" s="78" t="s">
        <v>234</v>
      </c>
      <c r="P19" s="78" t="s">
        <v>234</v>
      </c>
      <c r="Q19" s="78"/>
      <c r="R19" s="78"/>
      <c r="S19" s="78"/>
      <c r="T19" s="78"/>
      <c r="U19" s="78"/>
      <c r="V19" s="78" t="s">
        <v>224</v>
      </c>
      <c r="W19" s="78" t="s">
        <v>224</v>
      </c>
      <c r="X19" s="78"/>
      <c r="Y19" s="78"/>
      <c r="Z19" s="78"/>
      <c r="AA19" s="78"/>
      <c r="AB19" s="78"/>
      <c r="AC19" s="78"/>
      <c r="AD19" s="78"/>
      <c r="AE19" s="78" t="s">
        <v>234</v>
      </c>
      <c r="AF19" s="78" t="s">
        <v>234</v>
      </c>
      <c r="AG19" s="78" t="s">
        <v>234</v>
      </c>
      <c r="AH19" s="78"/>
      <c r="AI19" s="183">
        <f>COUNTIF(D19:AG19,"p")</f>
        <v>4</v>
      </c>
      <c r="AJ19" s="183">
        <f>COUNTIF(D19:AH19,"AH")</f>
        <v>0</v>
      </c>
      <c r="AK19" s="184">
        <f>COUNTIF(D19:AG19,"PC")</f>
        <v>0</v>
      </c>
      <c r="AL19" s="185">
        <f>COUNTIF(D19:AG19,"f")</f>
        <v>5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3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1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 t="s">
        <v>224</v>
      </c>
      <c r="F21" s="78"/>
      <c r="G21" s="78"/>
      <c r="H21" s="78" t="s">
        <v>231</v>
      </c>
      <c r="I21" s="78" t="s">
        <v>231</v>
      </c>
      <c r="J21" s="78" t="s">
        <v>231</v>
      </c>
      <c r="K21" s="78" t="s">
        <v>231</v>
      </c>
      <c r="L21" s="78"/>
      <c r="M21" s="78"/>
      <c r="N21" s="78"/>
      <c r="O21" s="78"/>
      <c r="P21" s="78"/>
      <c r="Q21" s="78"/>
      <c r="R21" s="78" t="s">
        <v>224</v>
      </c>
      <c r="S21" s="78" t="s">
        <v>224</v>
      </c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 t="s">
        <v>224</v>
      </c>
      <c r="AG21" s="78" t="s">
        <v>224</v>
      </c>
      <c r="AH21" s="78"/>
      <c r="AI21" s="183">
        <f>COUNTIF(D21:AG21,"p")</f>
        <v>4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5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 t="s">
        <v>236</v>
      </c>
      <c r="F23" s="80"/>
      <c r="G23" s="80"/>
      <c r="H23" s="80" t="s">
        <v>231</v>
      </c>
      <c r="I23" s="80" t="s">
        <v>231</v>
      </c>
      <c r="J23" s="80" t="s">
        <v>231</v>
      </c>
      <c r="K23" s="80" t="s">
        <v>231</v>
      </c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4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1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 t="s">
        <v>236</v>
      </c>
      <c r="F24" s="77"/>
      <c r="G24" s="77"/>
      <c r="H24" s="77" t="s">
        <v>231</v>
      </c>
      <c r="I24" s="77" t="s">
        <v>231</v>
      </c>
      <c r="J24" s="77" t="s">
        <v>231</v>
      </c>
      <c r="K24" s="77" t="s">
        <v>231</v>
      </c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4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1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 t="s">
        <v>239</v>
      </c>
      <c r="F26" s="80"/>
      <c r="G26" s="80"/>
      <c r="H26" s="80" t="s">
        <v>239</v>
      </c>
      <c r="I26" s="80" t="s">
        <v>239</v>
      </c>
      <c r="J26" s="80" t="s">
        <v>239</v>
      </c>
      <c r="K26" s="80" t="s">
        <v>239</v>
      </c>
      <c r="L26" s="80" t="s">
        <v>239</v>
      </c>
      <c r="M26" s="80"/>
      <c r="N26" s="80"/>
      <c r="O26" s="80" t="s">
        <v>242</v>
      </c>
      <c r="P26" s="80" t="s">
        <v>242</v>
      </c>
      <c r="Q26" s="80" t="s">
        <v>242</v>
      </c>
      <c r="R26" s="80" t="s">
        <v>242</v>
      </c>
      <c r="S26" s="80" t="s">
        <v>242</v>
      </c>
      <c r="T26" s="80"/>
      <c r="U26" s="80"/>
      <c r="V26" s="80" t="s">
        <v>242</v>
      </c>
      <c r="W26" s="80" t="s">
        <v>242</v>
      </c>
      <c r="X26" s="80" t="s">
        <v>242</v>
      </c>
      <c r="Y26" s="80" t="s">
        <v>242</v>
      </c>
      <c r="Z26" s="80" t="s">
        <v>242</v>
      </c>
      <c r="AA26" s="80"/>
      <c r="AB26" s="80"/>
      <c r="AC26" s="80" t="s">
        <v>242</v>
      </c>
      <c r="AD26" s="80" t="s">
        <v>242</v>
      </c>
      <c r="AE26" s="80" t="s">
        <v>242</v>
      </c>
      <c r="AF26" s="80" t="s">
        <v>242</v>
      </c>
      <c r="AG26" s="80" t="s">
        <v>242</v>
      </c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6</v>
      </c>
      <c r="AS26" s="212">
        <f>COUNTIF(D26:AG26,"at")</f>
        <v>0</v>
      </c>
      <c r="AT26" s="213">
        <f>COUNTIF(D26:AG26,"TAD")</f>
        <v>0</v>
      </c>
      <c r="AU26" s="214">
        <f>COUNTIF(D26:AG26,"TP")</f>
        <v>15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 t="s">
        <v>231</v>
      </c>
      <c r="F27" s="75"/>
      <c r="G27" s="75"/>
      <c r="H27" s="75" t="s">
        <v>231</v>
      </c>
      <c r="I27" s="75" t="s">
        <v>231</v>
      </c>
      <c r="J27" s="75" t="s">
        <v>231</v>
      </c>
      <c r="K27" s="75" t="s">
        <v>231</v>
      </c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5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 t="s">
        <v>236</v>
      </c>
      <c r="F28" s="75"/>
      <c r="G28" s="75"/>
      <c r="H28" s="75" t="s">
        <v>236</v>
      </c>
      <c r="I28" s="75" t="s">
        <v>236</v>
      </c>
      <c r="J28" s="75" t="s">
        <v>236</v>
      </c>
      <c r="K28" s="75" t="s">
        <v>236</v>
      </c>
      <c r="L28" s="75" t="s">
        <v>236</v>
      </c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6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 t="s">
        <v>239</v>
      </c>
      <c r="F29" s="77"/>
      <c r="G29" s="77"/>
      <c r="H29" s="77" t="s">
        <v>239</v>
      </c>
      <c r="I29" s="77" t="s">
        <v>239</v>
      </c>
      <c r="J29" s="77" t="s">
        <v>239</v>
      </c>
      <c r="K29" s="77" t="s">
        <v>239</v>
      </c>
      <c r="L29" s="77" t="s">
        <v>239</v>
      </c>
      <c r="M29" s="77"/>
      <c r="N29" s="77"/>
      <c r="O29" s="77" t="s">
        <v>239</v>
      </c>
      <c r="P29" s="77" t="s">
        <v>239</v>
      </c>
      <c r="Q29" s="77" t="s">
        <v>239</v>
      </c>
      <c r="R29" s="77" t="s">
        <v>239</v>
      </c>
      <c r="S29" s="77" t="s">
        <v>239</v>
      </c>
      <c r="T29" s="77"/>
      <c r="U29" s="77"/>
      <c r="V29" s="77" t="s">
        <v>239</v>
      </c>
      <c r="W29" s="77" t="s">
        <v>239</v>
      </c>
      <c r="X29" s="77" t="s">
        <v>239</v>
      </c>
      <c r="Y29" s="77" t="s">
        <v>239</v>
      </c>
      <c r="Z29" s="77" t="s">
        <v>239</v>
      </c>
      <c r="AA29" s="77"/>
      <c r="AB29" s="77"/>
      <c r="AC29" s="77" t="s">
        <v>239</v>
      </c>
      <c r="AD29" s="77" t="s">
        <v>239</v>
      </c>
      <c r="AE29" s="77" t="s">
        <v>239</v>
      </c>
      <c r="AF29" s="77" t="s">
        <v>239</v>
      </c>
      <c r="AG29" s="77" t="s">
        <v>239</v>
      </c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21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 t="s">
        <v>224</v>
      </c>
      <c r="F31" s="78"/>
      <c r="G31" s="78"/>
      <c r="H31" s="78" t="s">
        <v>224</v>
      </c>
      <c r="I31" s="78" t="s">
        <v>231</v>
      </c>
      <c r="J31" s="78" t="s">
        <v>231</v>
      </c>
      <c r="K31" s="78" t="s">
        <v>231</v>
      </c>
      <c r="L31" s="78"/>
      <c r="M31" s="78"/>
      <c r="N31" s="78"/>
      <c r="O31" s="78" t="s">
        <v>234</v>
      </c>
      <c r="P31" s="78" t="s">
        <v>234</v>
      </c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3</v>
      </c>
      <c r="AJ31" s="183">
        <f>COUNTIF(D31:AH31,"AH")</f>
        <v>0</v>
      </c>
      <c r="AK31" s="184">
        <f>COUNTIF(D31:AG31,"PC")</f>
        <v>0</v>
      </c>
      <c r="AL31" s="185">
        <f>COUNTIF(D31:AG31,"f")</f>
        <v>2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2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 t="s">
        <v>231</v>
      </c>
      <c r="F33" s="80"/>
      <c r="G33" s="80"/>
      <c r="H33" s="80" t="s">
        <v>231</v>
      </c>
      <c r="I33" s="80" t="s">
        <v>231</v>
      </c>
      <c r="J33" s="80" t="s">
        <v>231</v>
      </c>
      <c r="K33" s="80" t="s">
        <v>231</v>
      </c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5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 t="s">
        <v>231</v>
      </c>
      <c r="F34" s="77"/>
      <c r="G34" s="77"/>
      <c r="H34" s="77" t="s">
        <v>236</v>
      </c>
      <c r="I34" s="77" t="s">
        <v>236</v>
      </c>
      <c r="J34" s="77" t="s">
        <v>236</v>
      </c>
      <c r="K34" s="77" t="s">
        <v>236</v>
      </c>
      <c r="L34" s="77" t="s">
        <v>236</v>
      </c>
      <c r="M34" s="77"/>
      <c r="N34" s="77"/>
      <c r="O34" s="77" t="s">
        <v>236</v>
      </c>
      <c r="P34" s="77" t="s">
        <v>236</v>
      </c>
      <c r="Q34" s="77" t="s">
        <v>236</v>
      </c>
      <c r="R34" s="77"/>
      <c r="S34" s="77"/>
      <c r="T34" s="77"/>
      <c r="U34" s="77"/>
      <c r="V34" s="77" t="s">
        <v>236</v>
      </c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1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9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 t="s">
        <v>224</v>
      </c>
      <c r="F36" s="80"/>
      <c r="G36" s="80"/>
      <c r="H36" s="80" t="s">
        <v>224</v>
      </c>
      <c r="I36" s="80" t="s">
        <v>224</v>
      </c>
      <c r="J36" s="80" t="s">
        <v>224</v>
      </c>
      <c r="K36" s="80" t="s">
        <v>224</v>
      </c>
      <c r="L36" s="80" t="s">
        <v>224</v>
      </c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6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2</v>
      </c>
      <c r="F37" s="238">
        <f t="shared" si="3"/>
        <v>0</v>
      </c>
      <c r="G37" s="238">
        <f t="shared" si="3"/>
        <v>0</v>
      </c>
      <c r="H37" s="238">
        <f t="shared" si="3"/>
        <v>1</v>
      </c>
      <c r="I37" s="238">
        <f t="shared" si="3"/>
        <v>2</v>
      </c>
      <c r="J37" s="238">
        <f t="shared" si="3"/>
        <v>2</v>
      </c>
      <c r="K37" s="238">
        <f t="shared" si="3"/>
        <v>2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 t="s">
        <v>237</v>
      </c>
      <c r="F40" s="78"/>
      <c r="G40" s="78"/>
      <c r="H40" s="78" t="s">
        <v>231</v>
      </c>
      <c r="I40" s="78" t="s">
        <v>231</v>
      </c>
      <c r="J40" s="78" t="s">
        <v>237</v>
      </c>
      <c r="K40" s="78" t="s">
        <v>237</v>
      </c>
      <c r="L40" s="78" t="s">
        <v>237</v>
      </c>
      <c r="M40" s="78"/>
      <c r="N40" s="78"/>
      <c r="O40" s="78"/>
      <c r="P40" s="78"/>
      <c r="Q40" s="78"/>
      <c r="R40" s="78"/>
      <c r="S40" s="78" t="s">
        <v>241</v>
      </c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 t="s">
        <v>224</v>
      </c>
      <c r="AH40" s="78"/>
      <c r="AI40" s="183">
        <f>COUNTIF(D40:AG40,"p")</f>
        <v>2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1</v>
      </c>
      <c r="AP40" s="189">
        <f>COUNTIF(D40:AG40,"cex")</f>
        <v>4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1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 t="s">
        <v>231</v>
      </c>
      <c r="F42" s="78"/>
      <c r="G42" s="78"/>
      <c r="H42" s="78" t="s">
        <v>231</v>
      </c>
      <c r="I42" s="78" t="s">
        <v>231</v>
      </c>
      <c r="J42" s="78" t="s">
        <v>231</v>
      </c>
      <c r="K42" s="78" t="s">
        <v>231</v>
      </c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 t="s">
        <v>236</v>
      </c>
      <c r="AH42" s="78"/>
      <c r="AI42" s="183">
        <f>COUNTIF(D42:AG42,"p")</f>
        <v>5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1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 t="s">
        <v>231</v>
      </c>
      <c r="F44" s="80"/>
      <c r="G44" s="80"/>
      <c r="H44" s="80" t="s">
        <v>231</v>
      </c>
      <c r="I44" s="80" t="s">
        <v>231</v>
      </c>
      <c r="J44" s="80" t="s">
        <v>231</v>
      </c>
      <c r="K44" s="80" t="s">
        <v>231</v>
      </c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5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 t="s">
        <v>224</v>
      </c>
      <c r="F45" s="77"/>
      <c r="G45" s="77"/>
      <c r="H45" s="77" t="s">
        <v>231</v>
      </c>
      <c r="I45" s="77" t="s">
        <v>231</v>
      </c>
      <c r="J45" s="77" t="s">
        <v>231</v>
      </c>
      <c r="K45" s="77" t="s">
        <v>231</v>
      </c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4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1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 t="s">
        <v>224</v>
      </c>
      <c r="F47" s="80"/>
      <c r="G47" s="80"/>
      <c r="H47" s="80" t="s">
        <v>224</v>
      </c>
      <c r="I47" s="80" t="s">
        <v>224</v>
      </c>
      <c r="J47" s="80" t="s">
        <v>231</v>
      </c>
      <c r="K47" s="80" t="s">
        <v>231</v>
      </c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 t="s">
        <v>224</v>
      </c>
      <c r="Z47" s="80" t="s">
        <v>224</v>
      </c>
      <c r="AA47" s="80"/>
      <c r="AB47" s="80"/>
      <c r="AC47" s="80" t="s">
        <v>224</v>
      </c>
      <c r="AD47" s="80" t="s">
        <v>236</v>
      </c>
      <c r="AE47" s="80" t="s">
        <v>236</v>
      </c>
      <c r="AF47" s="80" t="s">
        <v>236</v>
      </c>
      <c r="AG47" s="80" t="s">
        <v>236</v>
      </c>
      <c r="AH47" s="80"/>
      <c r="AI47" s="203">
        <f>COUNTIF(D47:AG47,"p")</f>
        <v>2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4</v>
      </c>
      <c r="AO47" s="208">
        <f>COUNTIF(D47:AG47,"rtt")</f>
        <v>6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 t="s">
        <v>231</v>
      </c>
      <c r="F48" s="77"/>
      <c r="G48" s="77"/>
      <c r="H48" s="77" t="s">
        <v>231</v>
      </c>
      <c r="I48" s="77" t="s">
        <v>231</v>
      </c>
      <c r="J48" s="77" t="s">
        <v>231</v>
      </c>
      <c r="K48" s="77" t="s">
        <v>231</v>
      </c>
      <c r="L48" s="77" t="s">
        <v>236</v>
      </c>
      <c r="M48" s="77"/>
      <c r="N48" s="77"/>
      <c r="O48" s="77" t="s">
        <v>236</v>
      </c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5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2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 t="s">
        <v>239</v>
      </c>
      <c r="F50" s="80"/>
      <c r="G50" s="80"/>
      <c r="H50" s="80" t="s">
        <v>239</v>
      </c>
      <c r="I50" s="80" t="s">
        <v>239</v>
      </c>
      <c r="J50" s="80" t="s">
        <v>239</v>
      </c>
      <c r="K50" s="80" t="s">
        <v>239</v>
      </c>
      <c r="L50" s="80" t="s">
        <v>239</v>
      </c>
      <c r="M50" s="80"/>
      <c r="N50" s="80"/>
      <c r="O50" s="80" t="s">
        <v>239</v>
      </c>
      <c r="P50" s="80" t="s">
        <v>239</v>
      </c>
      <c r="Q50" s="80" t="s">
        <v>239</v>
      </c>
      <c r="R50" s="80" t="s">
        <v>239</v>
      </c>
      <c r="S50" s="80" t="s">
        <v>239</v>
      </c>
      <c r="T50" s="75"/>
      <c r="U50" s="75"/>
      <c r="V50" s="75" t="s">
        <v>239</v>
      </c>
      <c r="W50" s="75" t="s">
        <v>239</v>
      </c>
      <c r="X50" s="75" t="s">
        <v>239</v>
      </c>
      <c r="Y50" s="75" t="s">
        <v>239</v>
      </c>
      <c r="Z50" s="75" t="s">
        <v>239</v>
      </c>
      <c r="AA50" s="75"/>
      <c r="AB50" s="75"/>
      <c r="AC50" s="75" t="s">
        <v>239</v>
      </c>
      <c r="AD50" s="75" t="s">
        <v>239</v>
      </c>
      <c r="AE50" s="75" t="s">
        <v>239</v>
      </c>
      <c r="AF50" s="75" t="s">
        <v>239</v>
      </c>
      <c r="AG50" s="75" t="s">
        <v>239</v>
      </c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21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 t="s">
        <v>224</v>
      </c>
      <c r="F51" s="75"/>
      <c r="G51" s="75"/>
      <c r="H51" s="75" t="s">
        <v>231</v>
      </c>
      <c r="I51" s="75" t="s">
        <v>231</v>
      </c>
      <c r="J51" s="75" t="s">
        <v>231</v>
      </c>
      <c r="K51" s="75" t="s">
        <v>231</v>
      </c>
      <c r="L51" s="75" t="s">
        <v>231</v>
      </c>
      <c r="M51" s="75"/>
      <c r="N51" s="75"/>
      <c r="O51" s="75" t="s">
        <v>231</v>
      </c>
      <c r="P51" s="75" t="s">
        <v>231</v>
      </c>
      <c r="Q51" s="75" t="s">
        <v>231</v>
      </c>
      <c r="R51" s="75" t="s">
        <v>231</v>
      </c>
      <c r="S51" s="75" t="s">
        <v>231</v>
      </c>
      <c r="T51" s="75"/>
      <c r="U51" s="75"/>
      <c r="V51" s="75" t="s">
        <v>231</v>
      </c>
      <c r="W51" s="75" t="s">
        <v>231</v>
      </c>
      <c r="X51" s="75" t="s">
        <v>231</v>
      </c>
      <c r="Y51" s="75" t="s">
        <v>231</v>
      </c>
      <c r="Z51" s="75" t="s">
        <v>231</v>
      </c>
      <c r="AA51" s="75"/>
      <c r="AB51" s="75"/>
      <c r="AC51" s="75" t="s">
        <v>231</v>
      </c>
      <c r="AD51" s="75" t="s">
        <v>231</v>
      </c>
      <c r="AE51" s="75" t="s">
        <v>231</v>
      </c>
      <c r="AF51" s="75" t="s">
        <v>231</v>
      </c>
      <c r="AG51" s="75" t="s">
        <v>231</v>
      </c>
      <c r="AH51" s="75"/>
      <c r="AI51" s="107">
        <f t="shared" si="4"/>
        <v>20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1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 t="s">
        <v>236</v>
      </c>
      <c r="F52" s="75"/>
      <c r="G52" s="75"/>
      <c r="H52" s="75" t="s">
        <v>231</v>
      </c>
      <c r="I52" s="75" t="s">
        <v>231</v>
      </c>
      <c r="J52" s="75" t="s">
        <v>231</v>
      </c>
      <c r="K52" s="75" t="s">
        <v>231</v>
      </c>
      <c r="L52" s="75" t="s">
        <v>231</v>
      </c>
      <c r="M52" s="75"/>
      <c r="N52" s="75"/>
      <c r="O52" s="75" t="s">
        <v>231</v>
      </c>
      <c r="P52" s="75" t="s">
        <v>231</v>
      </c>
      <c r="Q52" s="75" t="s">
        <v>231</v>
      </c>
      <c r="R52" s="75" t="s">
        <v>231</v>
      </c>
      <c r="S52" s="75" t="s">
        <v>231</v>
      </c>
      <c r="T52" s="75"/>
      <c r="U52" s="75"/>
      <c r="V52" s="75" t="s">
        <v>231</v>
      </c>
      <c r="W52" s="75" t="s">
        <v>236</v>
      </c>
      <c r="X52" s="75" t="s">
        <v>236</v>
      </c>
      <c r="Y52" s="75" t="s">
        <v>236</v>
      </c>
      <c r="Z52" s="75" t="s">
        <v>236</v>
      </c>
      <c r="AA52" s="75"/>
      <c r="AB52" s="75"/>
      <c r="AC52" s="75" t="s">
        <v>236</v>
      </c>
      <c r="AD52" s="75" t="s">
        <v>236</v>
      </c>
      <c r="AE52" s="75" t="s">
        <v>236</v>
      </c>
      <c r="AF52" s="75" t="s">
        <v>224</v>
      </c>
      <c r="AG52" s="75" t="s">
        <v>224</v>
      </c>
      <c r="AH52" s="75"/>
      <c r="AI52" s="107">
        <f t="shared" si="4"/>
        <v>11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8</v>
      </c>
      <c r="AO52" s="112">
        <f t="shared" si="10"/>
        <v>2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 t="s">
        <v>232</v>
      </c>
      <c r="F53" s="75"/>
      <c r="G53" s="75"/>
      <c r="H53" s="75" t="s">
        <v>231</v>
      </c>
      <c r="I53" s="75" t="s">
        <v>231</v>
      </c>
      <c r="J53" s="75" t="s">
        <v>231</v>
      </c>
      <c r="K53" s="75" t="s">
        <v>231</v>
      </c>
      <c r="L53" s="75" t="s">
        <v>231</v>
      </c>
      <c r="M53" s="75"/>
      <c r="N53" s="75"/>
      <c r="O53" s="75" t="s">
        <v>231</v>
      </c>
      <c r="P53" s="75" t="s">
        <v>231</v>
      </c>
      <c r="Q53" s="75" t="s">
        <v>231</v>
      </c>
      <c r="R53" s="75" t="s">
        <v>231</v>
      </c>
      <c r="S53" s="75" t="s">
        <v>231</v>
      </c>
      <c r="T53" s="75"/>
      <c r="U53" s="75"/>
      <c r="V53" s="75" t="s">
        <v>231</v>
      </c>
      <c r="W53" s="75" t="s">
        <v>231</v>
      </c>
      <c r="X53" s="75" t="s">
        <v>231</v>
      </c>
      <c r="Y53" s="75" t="s">
        <v>231</v>
      </c>
      <c r="Z53" s="75" t="s">
        <v>231</v>
      </c>
      <c r="AA53" s="75"/>
      <c r="AB53" s="75"/>
      <c r="AC53" s="75" t="s">
        <v>231</v>
      </c>
      <c r="AD53" s="75" t="s">
        <v>231</v>
      </c>
      <c r="AE53" s="75" t="s">
        <v>231</v>
      </c>
      <c r="AF53" s="75" t="s">
        <v>231</v>
      </c>
      <c r="AG53" s="75" t="s">
        <v>231</v>
      </c>
      <c r="AH53" s="75"/>
      <c r="AI53" s="107">
        <f t="shared" si="4"/>
        <v>20</v>
      </c>
      <c r="AJ53" s="107">
        <f t="shared" si="5"/>
        <v>1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 t="s">
        <v>231</v>
      </c>
      <c r="F54" s="75"/>
      <c r="G54" s="75"/>
      <c r="H54" s="75" t="s">
        <v>231</v>
      </c>
      <c r="I54" s="75" t="s">
        <v>232</v>
      </c>
      <c r="J54" s="75" t="s">
        <v>231</v>
      </c>
      <c r="K54" s="75" t="s">
        <v>231</v>
      </c>
      <c r="L54" s="75" t="s">
        <v>231</v>
      </c>
      <c r="M54" s="75"/>
      <c r="N54" s="75"/>
      <c r="O54" s="75" t="s">
        <v>231</v>
      </c>
      <c r="P54" s="75" t="s">
        <v>231</v>
      </c>
      <c r="Q54" s="75" t="s">
        <v>231</v>
      </c>
      <c r="R54" s="75" t="s">
        <v>231</v>
      </c>
      <c r="S54" s="75" t="s">
        <v>231</v>
      </c>
      <c r="T54" s="75"/>
      <c r="U54" s="75"/>
      <c r="V54" s="75" t="s">
        <v>231</v>
      </c>
      <c r="W54" s="75" t="s">
        <v>231</v>
      </c>
      <c r="X54" s="75" t="s">
        <v>231</v>
      </c>
      <c r="Y54" s="75" t="s">
        <v>231</v>
      </c>
      <c r="Z54" s="75" t="s">
        <v>231</v>
      </c>
      <c r="AA54" s="75"/>
      <c r="AB54" s="75"/>
      <c r="AC54" s="75" t="s">
        <v>231</v>
      </c>
      <c r="AD54" s="75" t="s">
        <v>231</v>
      </c>
      <c r="AE54" s="75" t="s">
        <v>231</v>
      </c>
      <c r="AF54" s="75" t="s">
        <v>231</v>
      </c>
      <c r="AG54" s="75" t="s">
        <v>231</v>
      </c>
      <c r="AH54" s="75"/>
      <c r="AI54" s="107">
        <f t="shared" si="4"/>
        <v>20</v>
      </c>
      <c r="AJ54" s="107">
        <f t="shared" si="5"/>
        <v>1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 t="s">
        <v>236</v>
      </c>
      <c r="F55" s="75"/>
      <c r="G55" s="75"/>
      <c r="H55" s="75" t="s">
        <v>236</v>
      </c>
      <c r="I55" s="75" t="s">
        <v>236</v>
      </c>
      <c r="J55" s="75" t="s">
        <v>236</v>
      </c>
      <c r="K55" s="75" t="s">
        <v>238</v>
      </c>
      <c r="L55" s="75" t="s">
        <v>238</v>
      </c>
      <c r="M55" s="75"/>
      <c r="N55" s="75"/>
      <c r="O55" s="75" t="s">
        <v>238</v>
      </c>
      <c r="P55" s="75" t="s">
        <v>238</v>
      </c>
      <c r="Q55" s="75" t="s">
        <v>238</v>
      </c>
      <c r="R55" s="75" t="s">
        <v>238</v>
      </c>
      <c r="S55" s="75" t="s">
        <v>238</v>
      </c>
      <c r="T55" s="75"/>
      <c r="U55" s="75"/>
      <c r="V55" s="75" t="s">
        <v>238</v>
      </c>
      <c r="W55" s="75" t="s">
        <v>238</v>
      </c>
      <c r="X55" s="75" t="s">
        <v>238</v>
      </c>
      <c r="Y55" s="75" t="s">
        <v>238</v>
      </c>
      <c r="Z55" s="75" t="s">
        <v>238</v>
      </c>
      <c r="AA55" s="75"/>
      <c r="AB55" s="75"/>
      <c r="AC55" s="75" t="s">
        <v>231</v>
      </c>
      <c r="AD55" s="75" t="s">
        <v>231</v>
      </c>
      <c r="AE55" s="75" t="s">
        <v>231</v>
      </c>
      <c r="AF55" s="75" t="s">
        <v>231</v>
      </c>
      <c r="AG55" s="75" t="s">
        <v>231</v>
      </c>
      <c r="AH55" s="75"/>
      <c r="AI55" s="107">
        <f t="shared" si="4"/>
        <v>5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4</v>
      </c>
      <c r="AO55" s="112">
        <f t="shared" si="10"/>
        <v>0</v>
      </c>
      <c r="AP55" s="113">
        <f t="shared" si="11"/>
        <v>0</v>
      </c>
      <c r="AQ55" s="114">
        <f t="shared" si="12"/>
        <v>12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 t="s">
        <v>240</v>
      </c>
      <c r="F56" s="75"/>
      <c r="G56" s="75"/>
      <c r="H56" s="75" t="s">
        <v>240</v>
      </c>
      <c r="I56" s="75" t="s">
        <v>240</v>
      </c>
      <c r="J56" s="75" t="s">
        <v>240</v>
      </c>
      <c r="K56" s="75" t="s">
        <v>240</v>
      </c>
      <c r="L56" s="75" t="s">
        <v>240</v>
      </c>
      <c r="M56" s="75"/>
      <c r="N56" s="75"/>
      <c r="O56" s="75" t="s">
        <v>240</v>
      </c>
      <c r="P56" s="75" t="s">
        <v>240</v>
      </c>
      <c r="Q56" s="75" t="s">
        <v>240</v>
      </c>
      <c r="R56" s="75" t="s">
        <v>240</v>
      </c>
      <c r="S56" s="75" t="s">
        <v>240</v>
      </c>
      <c r="T56" s="75"/>
      <c r="U56" s="75"/>
      <c r="V56" s="75" t="s">
        <v>240</v>
      </c>
      <c r="W56" s="75" t="s">
        <v>240</v>
      </c>
      <c r="X56" s="75" t="s">
        <v>240</v>
      </c>
      <c r="Y56" s="75" t="s">
        <v>240</v>
      </c>
      <c r="Z56" s="75" t="s">
        <v>240</v>
      </c>
      <c r="AA56" s="75"/>
      <c r="AB56" s="75"/>
      <c r="AC56" s="75" t="s">
        <v>240</v>
      </c>
      <c r="AD56" s="75" t="s">
        <v>240</v>
      </c>
      <c r="AE56" s="75" t="s">
        <v>240</v>
      </c>
      <c r="AF56" s="75" t="s">
        <v>240</v>
      </c>
      <c r="AG56" s="75" t="s">
        <v>240</v>
      </c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21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 t="s">
        <v>224</v>
      </c>
      <c r="F57" s="75"/>
      <c r="G57" s="75"/>
      <c r="H57" s="75" t="s">
        <v>231</v>
      </c>
      <c r="I57" s="75" t="s">
        <v>231</v>
      </c>
      <c r="J57" s="75" t="s">
        <v>236</v>
      </c>
      <c r="K57" s="75" t="s">
        <v>231</v>
      </c>
      <c r="L57" s="75" t="s">
        <v>231</v>
      </c>
      <c r="M57" s="75"/>
      <c r="N57" s="75"/>
      <c r="O57" s="75" t="s">
        <v>231</v>
      </c>
      <c r="P57" s="75" t="s">
        <v>231</v>
      </c>
      <c r="Q57" s="75" t="s">
        <v>231</v>
      </c>
      <c r="R57" s="75" t="s">
        <v>231</v>
      </c>
      <c r="S57" s="75" t="s">
        <v>231</v>
      </c>
      <c r="T57" s="75"/>
      <c r="U57" s="75"/>
      <c r="V57" s="75" t="s">
        <v>231</v>
      </c>
      <c r="W57" s="75" t="s">
        <v>231</v>
      </c>
      <c r="X57" s="75" t="s">
        <v>231</v>
      </c>
      <c r="Y57" s="75" t="s">
        <v>231</v>
      </c>
      <c r="Z57" s="75" t="s">
        <v>231</v>
      </c>
      <c r="AA57" s="75"/>
      <c r="AB57" s="75"/>
      <c r="AC57" s="75" t="s">
        <v>231</v>
      </c>
      <c r="AD57" s="75" t="s">
        <v>231</v>
      </c>
      <c r="AE57" s="75" t="s">
        <v>231</v>
      </c>
      <c r="AF57" s="75" t="s">
        <v>231</v>
      </c>
      <c r="AG57" s="75" t="s">
        <v>231</v>
      </c>
      <c r="AH57" s="75"/>
      <c r="AI57" s="107">
        <f t="shared" si="4"/>
        <v>19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1</v>
      </c>
      <c r="AO57" s="112">
        <f t="shared" si="10"/>
        <v>1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 t="s">
        <v>236</v>
      </c>
      <c r="F58" s="75"/>
      <c r="G58" s="75"/>
      <c r="H58" s="75" t="s">
        <v>236</v>
      </c>
      <c r="I58" s="75" t="s">
        <v>236</v>
      </c>
      <c r="J58" s="75" t="s">
        <v>236</v>
      </c>
      <c r="K58" s="75" t="s">
        <v>236</v>
      </c>
      <c r="L58" s="75" t="s">
        <v>236</v>
      </c>
      <c r="M58" s="75"/>
      <c r="N58" s="75"/>
      <c r="O58" s="75" t="s">
        <v>231</v>
      </c>
      <c r="P58" s="75" t="s">
        <v>231</v>
      </c>
      <c r="Q58" s="75" t="s">
        <v>231</v>
      </c>
      <c r="R58" s="75" t="s">
        <v>231</v>
      </c>
      <c r="S58" s="75" t="s">
        <v>231</v>
      </c>
      <c r="T58" s="75"/>
      <c r="U58" s="75"/>
      <c r="V58" s="75" t="s">
        <v>231</v>
      </c>
      <c r="W58" s="75" t="s">
        <v>231</v>
      </c>
      <c r="X58" s="75" t="s">
        <v>231</v>
      </c>
      <c r="Y58" s="75" t="s">
        <v>231</v>
      </c>
      <c r="Z58" s="75" t="s">
        <v>231</v>
      </c>
      <c r="AA58" s="75"/>
      <c r="AB58" s="75"/>
      <c r="AC58" s="75" t="s">
        <v>231</v>
      </c>
      <c r="AD58" s="75" t="s">
        <v>231</v>
      </c>
      <c r="AE58" s="75" t="s">
        <v>231</v>
      </c>
      <c r="AF58" s="75" t="s">
        <v>231</v>
      </c>
      <c r="AG58" s="75" t="s">
        <v>231</v>
      </c>
      <c r="AH58" s="75"/>
      <c r="AI58" s="107">
        <f t="shared" si="4"/>
        <v>15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6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 t="s">
        <v>231</v>
      </c>
      <c r="F59" s="75"/>
      <c r="G59" s="75"/>
      <c r="H59" s="75" t="s">
        <v>231</v>
      </c>
      <c r="I59" s="75" t="s">
        <v>231</v>
      </c>
      <c r="J59" s="75" t="s">
        <v>231</v>
      </c>
      <c r="K59" s="75" t="s">
        <v>231</v>
      </c>
      <c r="L59" s="75" t="s">
        <v>231</v>
      </c>
      <c r="M59" s="75"/>
      <c r="N59" s="75"/>
      <c r="O59" s="75" t="s">
        <v>231</v>
      </c>
      <c r="P59" s="75" t="s">
        <v>233</v>
      </c>
      <c r="Q59" s="75" t="s">
        <v>231</v>
      </c>
      <c r="R59" s="75" t="s">
        <v>231</v>
      </c>
      <c r="S59" s="75" t="s">
        <v>231</v>
      </c>
      <c r="T59" s="75"/>
      <c r="U59" s="75"/>
      <c r="V59" s="75" t="s">
        <v>231</v>
      </c>
      <c r="W59" s="75" t="s">
        <v>231</v>
      </c>
      <c r="X59" s="75" t="s">
        <v>231</v>
      </c>
      <c r="Y59" s="75" t="s">
        <v>231</v>
      </c>
      <c r="Z59" s="75" t="s">
        <v>231</v>
      </c>
      <c r="AA59" s="75"/>
      <c r="AB59" s="75"/>
      <c r="AC59" s="75" t="s">
        <v>231</v>
      </c>
      <c r="AD59" s="75" t="s">
        <v>231</v>
      </c>
      <c r="AE59" s="75" t="s">
        <v>231</v>
      </c>
      <c r="AF59" s="75" t="s">
        <v>231</v>
      </c>
      <c r="AG59" s="75" t="s">
        <v>231</v>
      </c>
      <c r="AH59" s="75"/>
      <c r="AI59" s="107">
        <f t="shared" si="4"/>
        <v>20</v>
      </c>
      <c r="AJ59" s="107">
        <f t="shared" si="5"/>
        <v>0</v>
      </c>
      <c r="AK59" s="108">
        <f t="shared" si="6"/>
        <v>1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2</v>
      </c>
      <c r="F60" s="35">
        <f t="shared" si="17"/>
        <v>0</v>
      </c>
      <c r="G60" s="35">
        <f t="shared" si="17"/>
        <v>0</v>
      </c>
      <c r="H60" s="35">
        <f t="shared" si="17"/>
        <v>6</v>
      </c>
      <c r="I60" s="35">
        <f t="shared" si="17"/>
        <v>5</v>
      </c>
      <c r="J60" s="35">
        <f t="shared" si="17"/>
        <v>5</v>
      </c>
      <c r="K60" s="35">
        <f t="shared" si="17"/>
        <v>6</v>
      </c>
      <c r="L60" s="35">
        <f t="shared" si="17"/>
        <v>6</v>
      </c>
      <c r="M60" s="35">
        <f t="shared" si="17"/>
        <v>0</v>
      </c>
      <c r="N60" s="35">
        <f t="shared" si="17"/>
        <v>0</v>
      </c>
      <c r="O60" s="35">
        <f t="shared" si="17"/>
        <v>7</v>
      </c>
      <c r="P60" s="35">
        <f t="shared" si="17"/>
        <v>6</v>
      </c>
      <c r="Q60" s="35">
        <f t="shared" si="17"/>
        <v>7</v>
      </c>
      <c r="R60" s="35">
        <f t="shared" si="17"/>
        <v>7</v>
      </c>
      <c r="S60" s="35">
        <f t="shared" si="17"/>
        <v>7</v>
      </c>
      <c r="T60" s="35">
        <f t="shared" si="17"/>
        <v>0</v>
      </c>
      <c r="U60" s="35">
        <f t="shared" si="17"/>
        <v>0</v>
      </c>
      <c r="V60" s="35">
        <f t="shared" si="17"/>
        <v>7</v>
      </c>
      <c r="W60" s="35">
        <f t="shared" si="17"/>
        <v>6</v>
      </c>
      <c r="X60" s="35">
        <f t="shared" si="17"/>
        <v>6</v>
      </c>
      <c r="Y60" s="35">
        <f t="shared" si="17"/>
        <v>6</v>
      </c>
      <c r="Z60" s="35">
        <f t="shared" si="17"/>
        <v>6</v>
      </c>
      <c r="AA60" s="35">
        <f t="shared" si="17"/>
        <v>0</v>
      </c>
      <c r="AB60" s="35">
        <f t="shared" si="17"/>
        <v>0</v>
      </c>
      <c r="AC60" s="35">
        <f t="shared" si="17"/>
        <v>7</v>
      </c>
      <c r="AD60" s="35">
        <f t="shared" si="17"/>
        <v>7</v>
      </c>
      <c r="AE60" s="35">
        <f t="shared" si="17"/>
        <v>7</v>
      </c>
      <c r="AF60" s="35">
        <f t="shared" si="17"/>
        <v>7</v>
      </c>
      <c r="AG60" s="35">
        <f t="shared" si="17"/>
        <v>7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 t="s">
        <v>231</v>
      </c>
      <c r="F62" s="75"/>
      <c r="G62" s="75"/>
      <c r="H62" s="75" t="s">
        <v>231</v>
      </c>
      <c r="I62" s="75" t="s">
        <v>232</v>
      </c>
      <c r="J62" s="75" t="s">
        <v>231</v>
      </c>
      <c r="K62" s="75" t="s">
        <v>231</v>
      </c>
      <c r="L62" s="75" t="s">
        <v>231</v>
      </c>
      <c r="M62" s="75"/>
      <c r="N62" s="75"/>
      <c r="O62" s="75" t="s">
        <v>231</v>
      </c>
      <c r="P62" s="75" t="s">
        <v>231</v>
      </c>
      <c r="Q62" s="75" t="s">
        <v>231</v>
      </c>
      <c r="R62" s="75" t="s">
        <v>231</v>
      </c>
      <c r="S62" s="75" t="s">
        <v>231</v>
      </c>
      <c r="T62" s="75"/>
      <c r="U62" s="75"/>
      <c r="V62" s="75" t="s">
        <v>231</v>
      </c>
      <c r="W62" s="75" t="s">
        <v>231</v>
      </c>
      <c r="X62" s="75" t="s">
        <v>231</v>
      </c>
      <c r="Y62" s="75" t="s">
        <v>231</v>
      </c>
      <c r="Z62" s="75" t="s">
        <v>231</v>
      </c>
      <c r="AA62" s="75"/>
      <c r="AB62" s="75"/>
      <c r="AC62" s="75" t="s">
        <v>231</v>
      </c>
      <c r="AD62" s="75" t="s">
        <v>231</v>
      </c>
      <c r="AE62" s="75" t="s">
        <v>231</v>
      </c>
      <c r="AF62" s="75" t="s">
        <v>231</v>
      </c>
      <c r="AG62" s="75" t="s">
        <v>231</v>
      </c>
      <c r="AH62" s="75"/>
      <c r="AI62" s="107">
        <f t="shared" ref="AI62:AI72" si="18">COUNTIF(D62:AG62,"p")</f>
        <v>20</v>
      </c>
      <c r="AJ62" s="107">
        <f t="shared" ref="AJ62:AJ72" si="19">COUNTIF(D62:AH62,"AH")</f>
        <v>1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 t="s">
        <v>239</v>
      </c>
      <c r="F63" s="75"/>
      <c r="G63" s="75"/>
      <c r="H63" s="75" t="s">
        <v>239</v>
      </c>
      <c r="I63" s="75" t="s">
        <v>239</v>
      </c>
      <c r="J63" s="75" t="s">
        <v>231</v>
      </c>
      <c r="K63" s="75" t="s">
        <v>231</v>
      </c>
      <c r="L63" s="75" t="s">
        <v>231</v>
      </c>
      <c r="M63" s="75"/>
      <c r="N63" s="75"/>
      <c r="O63" s="75" t="s">
        <v>231</v>
      </c>
      <c r="P63" s="75" t="s">
        <v>231</v>
      </c>
      <c r="Q63" s="75" t="s">
        <v>231</v>
      </c>
      <c r="R63" s="75" t="s">
        <v>231</v>
      </c>
      <c r="S63" s="75" t="s">
        <v>231</v>
      </c>
      <c r="T63" s="75"/>
      <c r="U63" s="75"/>
      <c r="V63" s="75" t="s">
        <v>231</v>
      </c>
      <c r="W63" s="75" t="s">
        <v>231</v>
      </c>
      <c r="X63" s="75" t="s">
        <v>231</v>
      </c>
      <c r="Y63" s="75" t="s">
        <v>231</v>
      </c>
      <c r="Z63" s="75" t="s">
        <v>231</v>
      </c>
      <c r="AA63" s="75"/>
      <c r="AB63" s="75"/>
      <c r="AC63" s="75" t="s">
        <v>231</v>
      </c>
      <c r="AD63" s="75" t="s">
        <v>231</v>
      </c>
      <c r="AE63" s="75" t="s">
        <v>231</v>
      </c>
      <c r="AF63" s="75" t="s">
        <v>231</v>
      </c>
      <c r="AG63" s="75" t="s">
        <v>231</v>
      </c>
      <c r="AH63" s="75"/>
      <c r="AI63" s="107">
        <f t="shared" si="18"/>
        <v>18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3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 t="s">
        <v>224</v>
      </c>
      <c r="F64" s="75"/>
      <c r="G64" s="75"/>
      <c r="H64" s="75" t="s">
        <v>231</v>
      </c>
      <c r="I64" s="75" t="s">
        <v>231</v>
      </c>
      <c r="J64" s="75" t="s">
        <v>231</v>
      </c>
      <c r="K64" s="75" t="s">
        <v>231</v>
      </c>
      <c r="L64" s="75" t="s">
        <v>231</v>
      </c>
      <c r="M64" s="75"/>
      <c r="N64" s="75"/>
      <c r="O64" s="75" t="s">
        <v>231</v>
      </c>
      <c r="P64" s="75" t="s">
        <v>231</v>
      </c>
      <c r="Q64" s="75" t="s">
        <v>231</v>
      </c>
      <c r="R64" s="75" t="s">
        <v>231</v>
      </c>
      <c r="S64" s="75" t="s">
        <v>231</v>
      </c>
      <c r="T64" s="75"/>
      <c r="U64" s="75"/>
      <c r="V64" s="75" t="s">
        <v>231</v>
      </c>
      <c r="W64" s="75" t="s">
        <v>231</v>
      </c>
      <c r="X64" s="75" t="s">
        <v>231</v>
      </c>
      <c r="Y64" s="75" t="s">
        <v>231</v>
      </c>
      <c r="Z64" s="75" t="s">
        <v>231</v>
      </c>
      <c r="AA64" s="75"/>
      <c r="AB64" s="75"/>
      <c r="AC64" s="75" t="s">
        <v>231</v>
      </c>
      <c r="AD64" s="75" t="s">
        <v>231</v>
      </c>
      <c r="AE64" s="75" t="s">
        <v>231</v>
      </c>
      <c r="AF64" s="75" t="s">
        <v>231</v>
      </c>
      <c r="AG64" s="75" t="s">
        <v>231</v>
      </c>
      <c r="AH64" s="75"/>
      <c r="AI64" s="107">
        <f t="shared" si="18"/>
        <v>20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1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 t="s">
        <v>224</v>
      </c>
      <c r="F65" s="75"/>
      <c r="G65" s="75"/>
      <c r="H65" s="75" t="s">
        <v>236</v>
      </c>
      <c r="I65" s="75" t="s">
        <v>236</v>
      </c>
      <c r="J65" s="75" t="s">
        <v>236</v>
      </c>
      <c r="K65" s="75" t="s">
        <v>236</v>
      </c>
      <c r="L65" s="75" t="s">
        <v>236</v>
      </c>
      <c r="M65" s="75"/>
      <c r="N65" s="75"/>
      <c r="O65" s="75" t="s">
        <v>236</v>
      </c>
      <c r="P65" s="75" t="s">
        <v>236</v>
      </c>
      <c r="Q65" s="75" t="s">
        <v>236</v>
      </c>
      <c r="R65" s="75" t="s">
        <v>231</v>
      </c>
      <c r="S65" s="75" t="s">
        <v>231</v>
      </c>
      <c r="T65" s="75"/>
      <c r="U65" s="75"/>
      <c r="V65" s="75" t="s">
        <v>231</v>
      </c>
      <c r="W65" s="75" t="s">
        <v>231</v>
      </c>
      <c r="X65" s="75" t="s">
        <v>231</v>
      </c>
      <c r="Y65" s="75" t="s">
        <v>231</v>
      </c>
      <c r="Z65" s="75" t="s">
        <v>231</v>
      </c>
      <c r="AA65" s="75"/>
      <c r="AB65" s="75"/>
      <c r="AC65" s="75" t="s">
        <v>231</v>
      </c>
      <c r="AD65" s="75" t="s">
        <v>231</v>
      </c>
      <c r="AE65" s="75" t="s">
        <v>231</v>
      </c>
      <c r="AF65" s="75" t="s">
        <v>231</v>
      </c>
      <c r="AG65" s="75" t="s">
        <v>231</v>
      </c>
      <c r="AH65" s="75"/>
      <c r="AI65" s="107">
        <f t="shared" si="18"/>
        <v>12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8</v>
      </c>
      <c r="AO65" s="112">
        <f t="shared" si="24"/>
        <v>1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 t="s">
        <v>224</v>
      </c>
      <c r="F66" s="75"/>
      <c r="G66" s="75"/>
      <c r="H66" s="75" t="s">
        <v>236</v>
      </c>
      <c r="I66" s="75" t="s">
        <v>224</v>
      </c>
      <c r="J66" s="75" t="s">
        <v>224</v>
      </c>
      <c r="K66" s="75" t="s">
        <v>224</v>
      </c>
      <c r="L66" s="75" t="s">
        <v>224</v>
      </c>
      <c r="M66" s="75"/>
      <c r="N66" s="75"/>
      <c r="O66" s="75" t="s">
        <v>231</v>
      </c>
      <c r="P66" s="75" t="s">
        <v>231</v>
      </c>
      <c r="Q66" s="75" t="s">
        <v>231</v>
      </c>
      <c r="R66" s="75" t="s">
        <v>231</v>
      </c>
      <c r="S66" s="75" t="s">
        <v>231</v>
      </c>
      <c r="T66" s="75"/>
      <c r="U66" s="75"/>
      <c r="V66" s="75" t="s">
        <v>231</v>
      </c>
      <c r="W66" s="75" t="s">
        <v>231</v>
      </c>
      <c r="X66" s="75" t="s">
        <v>231</v>
      </c>
      <c r="Y66" s="75" t="s">
        <v>231</v>
      </c>
      <c r="Z66" s="75" t="s">
        <v>231</v>
      </c>
      <c r="AA66" s="75"/>
      <c r="AB66" s="75"/>
      <c r="AC66" s="75" t="s">
        <v>231</v>
      </c>
      <c r="AD66" s="75" t="s">
        <v>231</v>
      </c>
      <c r="AE66" s="75" t="s">
        <v>231</v>
      </c>
      <c r="AF66" s="75" t="s">
        <v>231</v>
      </c>
      <c r="AG66" s="75" t="s">
        <v>231</v>
      </c>
      <c r="AH66" s="75"/>
      <c r="AI66" s="107">
        <f t="shared" si="18"/>
        <v>15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1</v>
      </c>
      <c r="AO66" s="112">
        <f t="shared" si="24"/>
        <v>5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 t="s">
        <v>236</v>
      </c>
      <c r="F67" s="75"/>
      <c r="G67" s="75"/>
      <c r="H67" s="75" t="s">
        <v>236</v>
      </c>
      <c r="I67" s="75" t="s">
        <v>236</v>
      </c>
      <c r="J67" s="75" t="s">
        <v>231</v>
      </c>
      <c r="K67" s="75" t="s">
        <v>231</v>
      </c>
      <c r="L67" s="75" t="s">
        <v>231</v>
      </c>
      <c r="M67" s="75"/>
      <c r="N67" s="75"/>
      <c r="O67" s="75" t="s">
        <v>231</v>
      </c>
      <c r="P67" s="75" t="s">
        <v>231</v>
      </c>
      <c r="Q67" s="75" t="s">
        <v>231</v>
      </c>
      <c r="R67" s="75" t="s">
        <v>231</v>
      </c>
      <c r="S67" s="75" t="s">
        <v>231</v>
      </c>
      <c r="T67" s="75"/>
      <c r="U67" s="75"/>
      <c r="V67" s="75" t="s">
        <v>231</v>
      </c>
      <c r="W67" s="75" t="s">
        <v>231</v>
      </c>
      <c r="X67" s="75" t="s">
        <v>231</v>
      </c>
      <c r="Y67" s="75" t="s">
        <v>231</v>
      </c>
      <c r="Z67" s="75" t="s">
        <v>231</v>
      </c>
      <c r="AA67" s="75"/>
      <c r="AB67" s="75"/>
      <c r="AC67" s="75" t="s">
        <v>231</v>
      </c>
      <c r="AD67" s="75" t="s">
        <v>231</v>
      </c>
      <c r="AE67" s="75" t="s">
        <v>231</v>
      </c>
      <c r="AF67" s="75" t="s">
        <v>231</v>
      </c>
      <c r="AG67" s="75" t="s">
        <v>231</v>
      </c>
      <c r="AH67" s="75"/>
      <c r="AI67" s="107">
        <f t="shared" si="18"/>
        <v>18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3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 t="s">
        <v>232</v>
      </c>
      <c r="F68" s="75"/>
      <c r="G68" s="75"/>
      <c r="H68" s="80" t="s">
        <v>231</v>
      </c>
      <c r="I68" s="80" t="s">
        <v>232</v>
      </c>
      <c r="J68" s="80" t="s">
        <v>231</v>
      </c>
      <c r="K68" s="80" t="s">
        <v>231</v>
      </c>
      <c r="L68" s="80" t="s">
        <v>231</v>
      </c>
      <c r="M68" s="80"/>
      <c r="N68" s="80"/>
      <c r="O68" s="80" t="s">
        <v>231</v>
      </c>
      <c r="P68" s="80" t="s">
        <v>231</v>
      </c>
      <c r="Q68" s="80" t="s">
        <v>231</v>
      </c>
      <c r="R68" s="80" t="s">
        <v>231</v>
      </c>
      <c r="S68" s="80" t="s">
        <v>231</v>
      </c>
      <c r="T68" s="75"/>
      <c r="U68" s="75"/>
      <c r="V68" s="75" t="s">
        <v>231</v>
      </c>
      <c r="W68" s="75" t="s">
        <v>231</v>
      </c>
      <c r="X68" s="75" t="s">
        <v>231</v>
      </c>
      <c r="Y68" s="75" t="s">
        <v>231</v>
      </c>
      <c r="Z68" s="75" t="s">
        <v>231</v>
      </c>
      <c r="AA68" s="75"/>
      <c r="AB68" s="75"/>
      <c r="AC68" s="75" t="s">
        <v>231</v>
      </c>
      <c r="AD68" s="75" t="s">
        <v>231</v>
      </c>
      <c r="AE68" s="75" t="s">
        <v>231</v>
      </c>
      <c r="AF68" s="75" t="s">
        <v>231</v>
      </c>
      <c r="AG68" s="75" t="s">
        <v>231</v>
      </c>
      <c r="AH68" s="75"/>
      <c r="AI68" s="107">
        <f t="shared" si="18"/>
        <v>19</v>
      </c>
      <c r="AJ68" s="107">
        <f t="shared" si="19"/>
        <v>2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 t="s">
        <v>236</v>
      </c>
      <c r="F69" s="80"/>
      <c r="G69" s="80"/>
      <c r="H69" s="80" t="s">
        <v>231</v>
      </c>
      <c r="I69" s="80" t="s">
        <v>231</v>
      </c>
      <c r="J69" s="80" t="s">
        <v>231</v>
      </c>
      <c r="K69" s="80" t="s">
        <v>231</v>
      </c>
      <c r="L69" s="80" t="s">
        <v>231</v>
      </c>
      <c r="M69" s="80"/>
      <c r="N69" s="80"/>
      <c r="O69" s="80" t="s">
        <v>231</v>
      </c>
      <c r="P69" s="80" t="s">
        <v>231</v>
      </c>
      <c r="Q69" s="80" t="s">
        <v>231</v>
      </c>
      <c r="R69" s="80" t="s">
        <v>236</v>
      </c>
      <c r="S69" s="80" t="s">
        <v>236</v>
      </c>
      <c r="T69" s="80"/>
      <c r="U69" s="75"/>
      <c r="V69" s="75" t="s">
        <v>231</v>
      </c>
      <c r="W69" s="75" t="s">
        <v>231</v>
      </c>
      <c r="X69" s="75" t="s">
        <v>231</v>
      </c>
      <c r="Y69" s="75" t="s">
        <v>231</v>
      </c>
      <c r="Z69" s="75" t="s">
        <v>231</v>
      </c>
      <c r="AA69" s="75"/>
      <c r="AB69" s="75"/>
      <c r="AC69" s="75" t="s">
        <v>231</v>
      </c>
      <c r="AD69" s="75" t="s">
        <v>231</v>
      </c>
      <c r="AE69" s="75" t="s">
        <v>231</v>
      </c>
      <c r="AF69" s="75" t="s">
        <v>231</v>
      </c>
      <c r="AG69" s="75" t="s">
        <v>231</v>
      </c>
      <c r="AH69" s="75"/>
      <c r="AI69" s="107">
        <f t="shared" si="18"/>
        <v>18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3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 t="s">
        <v>236</v>
      </c>
      <c r="F70" s="75"/>
      <c r="G70" s="75"/>
      <c r="H70" s="75" t="s">
        <v>231</v>
      </c>
      <c r="I70" s="75" t="s">
        <v>231</v>
      </c>
      <c r="J70" s="75" t="s">
        <v>231</v>
      </c>
      <c r="K70" s="75" t="s">
        <v>231</v>
      </c>
      <c r="L70" s="75" t="s">
        <v>231</v>
      </c>
      <c r="M70" s="75"/>
      <c r="N70" s="75"/>
      <c r="O70" s="75" t="s">
        <v>234</v>
      </c>
      <c r="P70" s="75" t="s">
        <v>234</v>
      </c>
      <c r="Q70" s="75" t="s">
        <v>234</v>
      </c>
      <c r="R70" s="75" t="s">
        <v>234</v>
      </c>
      <c r="S70" s="75" t="s">
        <v>234</v>
      </c>
      <c r="T70" s="75"/>
      <c r="U70" s="75"/>
      <c r="V70" s="75" t="s">
        <v>231</v>
      </c>
      <c r="W70" s="75" t="s">
        <v>231</v>
      </c>
      <c r="X70" s="75" t="s">
        <v>231</v>
      </c>
      <c r="Y70" s="75" t="s">
        <v>231</v>
      </c>
      <c r="Z70" s="75" t="s">
        <v>231</v>
      </c>
      <c r="AA70" s="75"/>
      <c r="AB70" s="75"/>
      <c r="AC70" s="75" t="s">
        <v>231</v>
      </c>
      <c r="AD70" s="75" t="s">
        <v>231</v>
      </c>
      <c r="AE70" s="75" t="s">
        <v>231</v>
      </c>
      <c r="AF70" s="75" t="s">
        <v>231</v>
      </c>
      <c r="AG70" s="75" t="s">
        <v>231</v>
      </c>
      <c r="AH70" s="75"/>
      <c r="AI70" s="107">
        <f t="shared" si="18"/>
        <v>15</v>
      </c>
      <c r="AJ70" s="107">
        <f t="shared" si="19"/>
        <v>0</v>
      </c>
      <c r="AK70" s="108">
        <f t="shared" si="20"/>
        <v>0</v>
      </c>
      <c r="AL70" s="109">
        <f t="shared" si="21"/>
        <v>5</v>
      </c>
      <c r="AM70" s="110">
        <f t="shared" si="22"/>
        <v>0</v>
      </c>
      <c r="AN70" s="111">
        <f t="shared" si="23"/>
        <v>1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 t="s">
        <v>224</v>
      </c>
      <c r="F71" s="75"/>
      <c r="G71" s="75"/>
      <c r="H71" s="75" t="s">
        <v>231</v>
      </c>
      <c r="I71" s="75" t="s">
        <v>231</v>
      </c>
      <c r="J71" s="75" t="s">
        <v>231</v>
      </c>
      <c r="K71" s="75" t="s">
        <v>231</v>
      </c>
      <c r="L71" s="75" t="s">
        <v>231</v>
      </c>
      <c r="M71" s="75"/>
      <c r="N71" s="75"/>
      <c r="O71" s="75" t="s">
        <v>231</v>
      </c>
      <c r="P71" s="75" t="s">
        <v>231</v>
      </c>
      <c r="Q71" s="75" t="s">
        <v>231</v>
      </c>
      <c r="R71" s="75" t="s">
        <v>231</v>
      </c>
      <c r="S71" s="75" t="s">
        <v>231</v>
      </c>
      <c r="T71" s="75"/>
      <c r="U71" s="75"/>
      <c r="V71" s="75" t="s">
        <v>231</v>
      </c>
      <c r="W71" s="75" t="s">
        <v>231</v>
      </c>
      <c r="X71" s="75" t="s">
        <v>231</v>
      </c>
      <c r="Y71" s="75" t="s">
        <v>231</v>
      </c>
      <c r="Z71" s="75" t="s">
        <v>231</v>
      </c>
      <c r="AA71" s="75"/>
      <c r="AB71" s="75"/>
      <c r="AC71" s="75" t="s">
        <v>231</v>
      </c>
      <c r="AD71" s="75" t="s">
        <v>231</v>
      </c>
      <c r="AE71" s="75" t="s">
        <v>231</v>
      </c>
      <c r="AF71" s="75" t="s">
        <v>231</v>
      </c>
      <c r="AG71" s="75" t="s">
        <v>231</v>
      </c>
      <c r="AH71" s="75"/>
      <c r="AI71" s="107">
        <f t="shared" si="18"/>
        <v>20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1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 t="s">
        <v>231</v>
      </c>
      <c r="F72" s="75"/>
      <c r="G72" s="75"/>
      <c r="H72" s="75" t="s">
        <v>231</v>
      </c>
      <c r="I72" s="75" t="s">
        <v>231</v>
      </c>
      <c r="J72" s="75" t="s">
        <v>231</v>
      </c>
      <c r="K72" s="75" t="s">
        <v>231</v>
      </c>
      <c r="L72" s="75" t="s">
        <v>231</v>
      </c>
      <c r="M72" s="75"/>
      <c r="N72" s="75"/>
      <c r="O72" s="75" t="s">
        <v>231</v>
      </c>
      <c r="P72" s="75" t="s">
        <v>231</v>
      </c>
      <c r="Q72" s="75" t="s">
        <v>231</v>
      </c>
      <c r="R72" s="75" t="s">
        <v>231</v>
      </c>
      <c r="S72" s="75" t="s">
        <v>231</v>
      </c>
      <c r="T72" s="75"/>
      <c r="U72" s="75"/>
      <c r="V72" s="75" t="s">
        <v>231</v>
      </c>
      <c r="W72" s="75" t="s">
        <v>231</v>
      </c>
      <c r="X72" s="75" t="s">
        <v>231</v>
      </c>
      <c r="Y72" s="75" t="s">
        <v>231</v>
      </c>
      <c r="Z72" s="75" t="s">
        <v>231</v>
      </c>
      <c r="AA72" s="75"/>
      <c r="AB72" s="75"/>
      <c r="AC72" s="75" t="s">
        <v>231</v>
      </c>
      <c r="AD72" s="75" t="s">
        <v>231</v>
      </c>
      <c r="AE72" s="75" t="s">
        <v>231</v>
      </c>
      <c r="AF72" s="75" t="s">
        <v>231</v>
      </c>
      <c r="AG72" s="75" t="s">
        <v>231</v>
      </c>
      <c r="AH72" s="75"/>
      <c r="AI72" s="107">
        <f t="shared" si="18"/>
        <v>21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2</v>
      </c>
      <c r="F73" s="42">
        <f t="shared" si="31"/>
        <v>0</v>
      </c>
      <c r="G73" s="42">
        <f t="shared" si="31"/>
        <v>0</v>
      </c>
      <c r="H73" s="42">
        <f t="shared" si="31"/>
        <v>7</v>
      </c>
      <c r="I73" s="42">
        <f t="shared" si="31"/>
        <v>5</v>
      </c>
      <c r="J73" s="42">
        <f t="shared" si="31"/>
        <v>9</v>
      </c>
      <c r="K73" s="42">
        <f t="shared" si="31"/>
        <v>9</v>
      </c>
      <c r="L73" s="42">
        <f t="shared" si="31"/>
        <v>9</v>
      </c>
      <c r="M73" s="42">
        <f t="shared" si="31"/>
        <v>0</v>
      </c>
      <c r="N73" s="42">
        <f t="shared" si="31"/>
        <v>0</v>
      </c>
      <c r="O73" s="42">
        <f t="shared" si="31"/>
        <v>9</v>
      </c>
      <c r="P73" s="42">
        <f t="shared" si="31"/>
        <v>9</v>
      </c>
      <c r="Q73" s="42">
        <f t="shared" si="31"/>
        <v>9</v>
      </c>
      <c r="R73" s="42">
        <f t="shared" si="31"/>
        <v>9</v>
      </c>
      <c r="S73" s="42">
        <f t="shared" si="31"/>
        <v>9</v>
      </c>
      <c r="T73" s="42">
        <f t="shared" si="31"/>
        <v>0</v>
      </c>
      <c r="U73" s="42">
        <f t="shared" si="31"/>
        <v>0</v>
      </c>
      <c r="V73" s="42">
        <f t="shared" si="31"/>
        <v>11</v>
      </c>
      <c r="W73" s="42">
        <f t="shared" si="31"/>
        <v>11</v>
      </c>
      <c r="X73" s="42">
        <f t="shared" si="31"/>
        <v>11</v>
      </c>
      <c r="Y73" s="42">
        <f t="shared" si="31"/>
        <v>11</v>
      </c>
      <c r="Z73" s="42">
        <f t="shared" si="31"/>
        <v>11</v>
      </c>
      <c r="AA73" s="42">
        <f t="shared" si="31"/>
        <v>0</v>
      </c>
      <c r="AB73" s="42">
        <f t="shared" si="31"/>
        <v>0</v>
      </c>
      <c r="AC73" s="42">
        <f t="shared" si="31"/>
        <v>11</v>
      </c>
      <c r="AD73" s="42">
        <f t="shared" si="31"/>
        <v>11</v>
      </c>
      <c r="AE73" s="42">
        <f t="shared" si="31"/>
        <v>11</v>
      </c>
      <c r="AF73" s="42">
        <f t="shared" si="31"/>
        <v>11</v>
      </c>
      <c r="AG73" s="42">
        <f t="shared" si="31"/>
        <v>11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4</v>
      </c>
      <c r="F74" s="35">
        <f t="shared" si="32"/>
        <v>0</v>
      </c>
      <c r="G74" s="35">
        <f t="shared" si="32"/>
        <v>0</v>
      </c>
      <c r="H74" s="35">
        <f t="shared" si="32"/>
        <v>13</v>
      </c>
      <c r="I74" s="35">
        <f t="shared" si="32"/>
        <v>10</v>
      </c>
      <c r="J74" s="35">
        <f t="shared" si="32"/>
        <v>14</v>
      </c>
      <c r="K74" s="35">
        <f t="shared" si="32"/>
        <v>15</v>
      </c>
      <c r="L74" s="35">
        <f t="shared" si="32"/>
        <v>15</v>
      </c>
      <c r="M74" s="35">
        <f t="shared" si="32"/>
        <v>0</v>
      </c>
      <c r="N74" s="35">
        <f t="shared" si="32"/>
        <v>0</v>
      </c>
      <c r="O74" s="35">
        <f t="shared" si="32"/>
        <v>16</v>
      </c>
      <c r="P74" s="35">
        <f t="shared" si="32"/>
        <v>15</v>
      </c>
      <c r="Q74" s="35">
        <f t="shared" si="32"/>
        <v>16</v>
      </c>
      <c r="R74" s="35">
        <f t="shared" si="32"/>
        <v>16</v>
      </c>
      <c r="S74" s="35">
        <f t="shared" si="32"/>
        <v>16</v>
      </c>
      <c r="T74" s="35">
        <f t="shared" si="32"/>
        <v>0</v>
      </c>
      <c r="U74" s="35">
        <f t="shared" si="32"/>
        <v>0</v>
      </c>
      <c r="V74" s="35">
        <f t="shared" si="32"/>
        <v>18</v>
      </c>
      <c r="W74" s="35">
        <f t="shared" si="32"/>
        <v>17</v>
      </c>
      <c r="X74" s="35">
        <f t="shared" si="32"/>
        <v>17</v>
      </c>
      <c r="Y74" s="35">
        <f t="shared" si="32"/>
        <v>17</v>
      </c>
      <c r="Z74" s="35">
        <f t="shared" si="32"/>
        <v>17</v>
      </c>
      <c r="AA74" s="35">
        <f t="shared" si="32"/>
        <v>0</v>
      </c>
      <c r="AB74" s="35">
        <f t="shared" si="32"/>
        <v>0</v>
      </c>
      <c r="AC74" s="35">
        <f t="shared" si="32"/>
        <v>18</v>
      </c>
      <c r="AD74" s="35">
        <f t="shared" si="32"/>
        <v>18</v>
      </c>
      <c r="AE74" s="35">
        <f t="shared" si="32"/>
        <v>18</v>
      </c>
      <c r="AF74" s="35">
        <f t="shared" si="32"/>
        <v>18</v>
      </c>
      <c r="AG74" s="35">
        <f t="shared" si="32"/>
        <v>18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 t="s">
        <v>239</v>
      </c>
      <c r="F76" s="75"/>
      <c r="G76" s="75"/>
      <c r="H76" s="75" t="s">
        <v>239</v>
      </c>
      <c r="I76" s="75" t="s">
        <v>239</v>
      </c>
      <c r="J76" s="75" t="s">
        <v>239</v>
      </c>
      <c r="K76" s="75" t="s">
        <v>239</v>
      </c>
      <c r="L76" s="75" t="s">
        <v>239</v>
      </c>
      <c r="M76" s="75"/>
      <c r="N76" s="75"/>
      <c r="O76" s="75" t="s">
        <v>239</v>
      </c>
      <c r="P76" s="75" t="s">
        <v>239</v>
      </c>
      <c r="Q76" s="75" t="s">
        <v>239</v>
      </c>
      <c r="R76" s="75" t="s">
        <v>239</v>
      </c>
      <c r="S76" s="75" t="s">
        <v>239</v>
      </c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11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 t="s">
        <v>231</v>
      </c>
      <c r="F77" s="77"/>
      <c r="G77" s="77"/>
      <c r="H77" s="77" t="s">
        <v>224</v>
      </c>
      <c r="I77" s="77" t="s">
        <v>224</v>
      </c>
      <c r="J77" s="77" t="s">
        <v>224</v>
      </c>
      <c r="K77" s="77" t="s">
        <v>224</v>
      </c>
      <c r="L77" s="77" t="s">
        <v>224</v>
      </c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1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5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8" t="str">
        <f>IFERROR(IF(config!C79="","",config!C79),"")</f>
        <v>Jean-Louis</v>
      </c>
      <c r="D79" s="80"/>
      <c r="E79" s="80" t="s">
        <v>242</v>
      </c>
      <c r="F79" s="80"/>
      <c r="G79" s="80"/>
      <c r="H79" s="80" t="s">
        <v>231</v>
      </c>
      <c r="I79" s="80" t="s">
        <v>242</v>
      </c>
      <c r="J79" s="80" t="s">
        <v>231</v>
      </c>
      <c r="K79" s="80" t="s">
        <v>242</v>
      </c>
      <c r="L79" s="80"/>
      <c r="M79" s="80"/>
      <c r="N79" s="80"/>
      <c r="O79" s="80" t="s">
        <v>242</v>
      </c>
      <c r="P79" s="80"/>
      <c r="Q79" s="80" t="s">
        <v>242</v>
      </c>
      <c r="R79" s="80"/>
      <c r="S79" s="80" t="s">
        <v>242</v>
      </c>
      <c r="T79" s="80"/>
      <c r="U79" s="80"/>
      <c r="V79" s="80"/>
      <c r="W79" s="80" t="s">
        <v>242</v>
      </c>
      <c r="X79" s="80"/>
      <c r="Y79" s="80" t="s">
        <v>242</v>
      </c>
      <c r="Z79" s="80"/>
      <c r="AA79" s="80"/>
      <c r="AB79" s="80"/>
      <c r="AC79" s="80" t="s">
        <v>242</v>
      </c>
      <c r="AD79" s="80"/>
      <c r="AE79" s="80" t="s">
        <v>242</v>
      </c>
      <c r="AF79" s="80"/>
      <c r="AG79" s="80" t="s">
        <v>242</v>
      </c>
      <c r="AH79" s="80"/>
      <c r="AI79" s="107">
        <f>COUNTIF(D79:AG79,"p")</f>
        <v>2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11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 t="s">
        <v>231</v>
      </c>
      <c r="F80" s="75"/>
      <c r="G80" s="75"/>
      <c r="H80" s="75" t="s">
        <v>231</v>
      </c>
      <c r="I80" s="75" t="s">
        <v>231</v>
      </c>
      <c r="J80" s="75" t="s">
        <v>231</v>
      </c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4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41</v>
      </c>
      <c r="E84" s="102">
        <f>COUNTIF(D11:AH36,"AH")</f>
        <v>0</v>
      </c>
      <c r="F84" s="102">
        <f>COUNTIF(D11:AH36,"PC")</f>
        <v>0</v>
      </c>
      <c r="G84" s="102">
        <f>COUNTIF(D11:AH36,"f")</f>
        <v>7</v>
      </c>
      <c r="H84" s="102">
        <f>COUNTIF(D11:AH36,"ast")</f>
        <v>0</v>
      </c>
      <c r="I84" s="102">
        <f>COUNTIF(D11:AH36,"ca")</f>
        <v>27</v>
      </c>
      <c r="J84" s="102">
        <f>COUNTIF(D11:AH36,"rtt")</f>
        <v>24</v>
      </c>
      <c r="K84" s="102">
        <f>COUNTIF(D11:AH36,"CEX")</f>
        <v>2</v>
      </c>
      <c r="L84" s="102">
        <f>COUNTIF(D11:AH36,"RES")</f>
        <v>0</v>
      </c>
      <c r="M84" s="102">
        <f>COUNTIF(D11:AH36,"MA")</f>
        <v>27</v>
      </c>
      <c r="N84" s="102">
        <f>COUNTIF(D11:AH36,"AT")</f>
        <v>0</v>
      </c>
      <c r="O84" s="102">
        <f>COUNTIF(D11:AH36,"TAD")</f>
        <v>4</v>
      </c>
      <c r="P84" s="103">
        <f>COUNTIF(D11:AH36,"TP")</f>
        <v>15</v>
      </c>
      <c r="W84" s="104">
        <f>COUNTIF(D50:AH59,"p")</f>
        <v>130</v>
      </c>
      <c r="X84" s="105">
        <f>COUNTIF(D50:AH59,"AH")</f>
        <v>2</v>
      </c>
      <c r="Y84" s="105">
        <f>COUNTIF(D50:AH59,"PC")</f>
        <v>1</v>
      </c>
      <c r="Z84" s="105">
        <f>COUNTIF(D50:AH59,"f")</f>
        <v>0</v>
      </c>
      <c r="AA84" s="105">
        <f>COUNTIF(D50:AH59,"ast")</f>
        <v>0</v>
      </c>
      <c r="AB84" s="105">
        <f>COUNTIF(D50:AH59,"ca")</f>
        <v>19</v>
      </c>
      <c r="AC84" s="105">
        <f>COUNTIF(D50:AH59,"rtt")</f>
        <v>4</v>
      </c>
      <c r="AD84" s="105">
        <f>COUNTIF(D50:AH59,"CEX")</f>
        <v>0</v>
      </c>
      <c r="AE84" s="105">
        <f>COUNTIF(D50:AH59,"RES")</f>
        <v>12</v>
      </c>
      <c r="AF84" s="105">
        <f>COUNTIF(D50:AH59,"MA")</f>
        <v>21</v>
      </c>
      <c r="AG84" s="105">
        <f>COUNTIF(D50:AH59,"AT")</f>
        <v>21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196</v>
      </c>
      <c r="E106" s="105">
        <f>COUNTIF(D62:AH72,"AH")</f>
        <v>3</v>
      </c>
      <c r="F106" s="105">
        <f>COUNTIF(D62:AH72,"PC")</f>
        <v>0</v>
      </c>
      <c r="G106" s="105">
        <f>COUNTIF(D62:AH72,"f")</f>
        <v>5</v>
      </c>
      <c r="H106" s="105">
        <f>COUNTIF(D62:AH72,"ast")</f>
        <v>0</v>
      </c>
      <c r="I106" s="105">
        <f>COUNTIF(D62:AH72,"ca")</f>
        <v>16</v>
      </c>
      <c r="J106" s="105">
        <f>COUNTIF(D62:AH72,"rtt")</f>
        <v>8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3</v>
      </c>
      <c r="N106" s="105">
        <f>COUNTIF(D62:AH72,"AT")</f>
        <v>0</v>
      </c>
      <c r="O106" s="106">
        <f>COUNTIF(D62:AH72,"TP")</f>
        <v>0</v>
      </c>
      <c r="W106" s="104">
        <f>COUNTIF(D76:AH80,"p")</f>
        <v>7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5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11</v>
      </c>
      <c r="AG106" s="105">
        <f>COUNTIF(D76:AH80,"AT")</f>
        <v>0</v>
      </c>
      <c r="AH106" s="106">
        <f>COUNTIF(D76:AH80,"TP")</f>
        <v>11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9:AH19 D76:AH77 D79:AH80 D31:AH31 D17:AH17 D21:AH21 D23:AH24 D26:AH29 D33:AH34 D36:AH48 D62:AH72 D50:AH59">
    <cfRule type="containsText" dxfId="236" priority="3" operator="containsText" text="AH">
      <formula>NOT(ISERROR(SEARCH("AH",D12)))</formula>
    </cfRule>
    <cfRule type="containsText" dxfId="235" priority="4" operator="containsText" text="TP">
      <formula>NOT(ISERROR(SEARCH("TP",D12)))</formula>
    </cfRule>
    <cfRule type="containsText" dxfId="234" priority="5" operator="containsText" text="TAD">
      <formula>NOT(ISERROR(SEARCH("TAD",D12)))</formula>
    </cfRule>
    <cfRule type="containsText" dxfId="233" priority="6" operator="containsText" text="AT">
      <formula>NOT(ISERROR(SEARCH("AT",D12)))</formula>
    </cfRule>
    <cfRule type="containsText" dxfId="232" priority="7" operator="containsText" text="MA">
      <formula>NOT(ISERROR(SEARCH("MA",D12)))</formula>
    </cfRule>
    <cfRule type="containsText" dxfId="231" priority="8" operator="containsText" text="RES">
      <formula>NOT(ISERROR(SEARCH("RES",D12)))</formula>
    </cfRule>
    <cfRule type="containsText" dxfId="230" priority="9" operator="containsText" text="CEX">
      <formula>NOT(ISERROR(SEARCH("CEX",D12)))</formula>
    </cfRule>
    <cfRule type="containsText" dxfId="229" priority="10" operator="containsText" text="RTT">
      <formula>NOT(ISERROR(SEARCH("RTT",D12)))</formula>
    </cfRule>
    <cfRule type="beginsWith" dxfId="228" priority="11" operator="beginsWith" text="CA">
      <formula>LEFT(D12,LEN("CA"))="CA"</formula>
    </cfRule>
    <cfRule type="containsText" dxfId="227" priority="12" operator="containsText" text="AST">
      <formula>NOT(ISERROR(SEARCH("AST",D12)))</formula>
    </cfRule>
    <cfRule type="containsText" dxfId="226" priority="13" operator="containsText" text="F">
      <formula>NOT(ISERROR(SEARCH("F",D12)))</formula>
    </cfRule>
    <cfRule type="containsText" dxfId="225" priority="14" operator="containsText" text="PC">
      <formula>NOT(ISERROR(SEARCH("PC",D12)))</formula>
    </cfRule>
    <cfRule type="containsText" dxfId="224" priority="15" operator="containsText" text="P">
      <formula>NOT(ISERROR(SEARCH("P",D12)))</formula>
    </cfRule>
  </conditionalFormatting>
  <conditionalFormatting sqref="D9:AH10 D12:AH12 D14:AH14 D19:AH19 D36:AH37 D47:AH48 D76:AH77 D79:AH80 D31:AH31 D17:AH17 D40:AH40 D21:AH21 D23:AH24 D26:AH29 D33:AH34 D42:AH42 D44:AH45 D62:AH74 D50:AH60">
    <cfRule type="expression" dxfId="22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22" priority="2">
      <formula>OR(D$9=1,D$9=7)</formula>
    </cfRule>
  </conditionalFormatting>
  <dataValidations count="1">
    <dataValidation type="list" showInputMessage="1" showErrorMessage="1" sqref="D12:AH12 D14:AH14 D62:AH72 D33:AH34 D21:AH21 D23:AH24 D79:AH80 D26:AH29 D36:AH48 D31:AH31 D17:AH19 D76:AH77 D50:AH59" xr:uid="{B069ED34-5743-4113-86AD-414823EEF11E}">
      <formula1>$AI$10:$AU$10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33C15-B3A5-4D5A-88F6-800DE94CAF85}">
  <sheetPr codeName="Feuil19">
    <outlinePr summaryRight="0"/>
  </sheetPr>
  <dimension ref="A1:AR106"/>
  <sheetViews>
    <sheetView zoomScaleNormal="100" workbookViewId="0">
      <pane ySplit="10" topLeftCell="A11" activePane="bottomLeft" state="frozen"/>
      <selection activeCell="B1" sqref="B1"/>
      <selection pane="bottomLeft" activeCell="E14" sqref="E14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1" width="4.7109375" style="3" customWidth="1"/>
    <col min="32" max="44" width="3.7109375" style="180" customWidth="1"/>
    <col min="45" max="45" width="17.42578125" style="3" customWidth="1"/>
    <col min="46" max="16384" width="17.42578125" style="3"/>
  </cols>
  <sheetData>
    <row r="1" spans="1:44" ht="15" customHeight="1" x14ac:dyDescent="0.2">
      <c r="A1" s="49">
        <f>Menu!D23</f>
        <v>46054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44" x14ac:dyDescent="0.2">
      <c r="A2" s="49">
        <f>Menu!E23</f>
        <v>46081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44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</row>
    <row r="4" spans="1:44" ht="12.75" hidden="1" customHeight="1" x14ac:dyDescent="0.2">
      <c r="A4" s="49"/>
      <c r="C4" s="51"/>
      <c r="D4" s="55">
        <f>A1</f>
        <v>46054</v>
      </c>
      <c r="E4" s="55">
        <f t="shared" ref="E4:AE4" si="0">D4+1</f>
        <v>46055</v>
      </c>
      <c r="F4" s="55">
        <f t="shared" si="0"/>
        <v>46056</v>
      </c>
      <c r="G4" s="55">
        <f t="shared" si="0"/>
        <v>46057</v>
      </c>
      <c r="H4" s="55">
        <f t="shared" si="0"/>
        <v>46058</v>
      </c>
      <c r="I4" s="55">
        <f t="shared" si="0"/>
        <v>46059</v>
      </c>
      <c r="J4" s="55">
        <f t="shared" si="0"/>
        <v>46060</v>
      </c>
      <c r="K4" s="55">
        <f t="shared" si="0"/>
        <v>46061</v>
      </c>
      <c r="L4" s="55">
        <f t="shared" si="0"/>
        <v>46062</v>
      </c>
      <c r="M4" s="55">
        <f t="shared" si="0"/>
        <v>46063</v>
      </c>
      <c r="N4" s="55">
        <f t="shared" si="0"/>
        <v>46064</v>
      </c>
      <c r="O4" s="55">
        <f t="shared" si="0"/>
        <v>46065</v>
      </c>
      <c r="P4" s="55">
        <f t="shared" si="0"/>
        <v>46066</v>
      </c>
      <c r="Q4" s="55">
        <f t="shared" si="0"/>
        <v>46067</v>
      </c>
      <c r="R4" s="55">
        <f t="shared" si="0"/>
        <v>46068</v>
      </c>
      <c r="S4" s="55">
        <f t="shared" si="0"/>
        <v>46069</v>
      </c>
      <c r="T4" s="55">
        <f t="shared" si="0"/>
        <v>46070</v>
      </c>
      <c r="U4" s="55">
        <f t="shared" si="0"/>
        <v>46071</v>
      </c>
      <c r="V4" s="55">
        <f t="shared" si="0"/>
        <v>46072</v>
      </c>
      <c r="W4" s="55">
        <f t="shared" si="0"/>
        <v>46073</v>
      </c>
      <c r="X4" s="55">
        <f t="shared" si="0"/>
        <v>46074</v>
      </c>
      <c r="Y4" s="55">
        <f t="shared" si="0"/>
        <v>46075</v>
      </c>
      <c r="Z4" s="55">
        <f t="shared" si="0"/>
        <v>46076</v>
      </c>
      <c r="AA4" s="55">
        <f t="shared" si="0"/>
        <v>46077</v>
      </c>
      <c r="AB4" s="55">
        <f t="shared" si="0"/>
        <v>46078</v>
      </c>
      <c r="AC4" s="55">
        <f t="shared" si="0"/>
        <v>46079</v>
      </c>
      <c r="AD4" s="55">
        <f t="shared" si="0"/>
        <v>46080</v>
      </c>
      <c r="AE4" s="55">
        <f t="shared" si="0"/>
        <v>46081</v>
      </c>
    </row>
    <row r="5" spans="1:44" s="81" customFormat="1" ht="20.100000000000001" customHeight="1" x14ac:dyDescent="0.2">
      <c r="A5" s="178"/>
      <c r="B5" s="178"/>
      <c r="C5" s="178"/>
      <c r="D5" s="358" t="str">
        <f>TEXT(A1,"mmmm-aaaa")</f>
        <v>février-2026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63" t="s">
        <v>218</v>
      </c>
      <c r="AG5" s="363" t="s">
        <v>219</v>
      </c>
      <c r="AH5" s="362" t="s">
        <v>220</v>
      </c>
      <c r="AI5" s="364" t="s">
        <v>221</v>
      </c>
      <c r="AJ5" s="365" t="s">
        <v>222</v>
      </c>
      <c r="AK5" s="370" t="s">
        <v>223</v>
      </c>
      <c r="AL5" s="367" t="s">
        <v>224</v>
      </c>
      <c r="AM5" s="366" t="s">
        <v>225</v>
      </c>
      <c r="AN5" s="360" t="s">
        <v>226</v>
      </c>
      <c r="AO5" s="355" t="s">
        <v>227</v>
      </c>
      <c r="AP5" s="368" t="s">
        <v>228</v>
      </c>
      <c r="AQ5" s="369" t="s">
        <v>229</v>
      </c>
      <c r="AR5" s="361" t="s">
        <v>230</v>
      </c>
    </row>
    <row r="6" spans="1:44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6"/>
      <c r="AG6" s="356"/>
      <c r="AH6" s="356"/>
      <c r="AI6" s="356"/>
      <c r="AJ6" s="356"/>
      <c r="AK6" s="356"/>
      <c r="AL6" s="356"/>
      <c r="AM6" s="356"/>
      <c r="AN6" s="356"/>
      <c r="AO6" s="356"/>
      <c r="AP6" s="356"/>
      <c r="AQ6" s="356"/>
      <c r="AR6" s="356"/>
    </row>
    <row r="7" spans="1:44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6"/>
      <c r="AG7" s="356"/>
      <c r="AH7" s="356"/>
      <c r="AI7" s="356"/>
      <c r="AJ7" s="356"/>
      <c r="AK7" s="356"/>
      <c r="AL7" s="356"/>
      <c r="AM7" s="356"/>
      <c r="AN7" s="356"/>
      <c r="AO7" s="356"/>
      <c r="AP7" s="356"/>
      <c r="AQ7" s="356"/>
      <c r="AR7" s="356"/>
    </row>
    <row r="8" spans="1:44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356"/>
      <c r="AG8" s="356"/>
      <c r="AH8" s="356"/>
      <c r="AI8" s="356"/>
      <c r="AJ8" s="356"/>
      <c r="AK8" s="356"/>
      <c r="AL8" s="356"/>
      <c r="AM8" s="356"/>
      <c r="AN8" s="356"/>
      <c r="AO8" s="356"/>
      <c r="AP8" s="356"/>
      <c r="AQ8" s="356"/>
      <c r="AR8" s="356"/>
    </row>
    <row r="9" spans="1:44" ht="15" customHeight="1" x14ac:dyDescent="0.2">
      <c r="A9" s="61"/>
      <c r="B9" s="62"/>
      <c r="C9" s="61"/>
      <c r="D9" s="74">
        <f t="shared" ref="D9:AE9" si="1">IFERROR(WEEKDAY(D4),"")</f>
        <v>1</v>
      </c>
      <c r="E9" s="74">
        <f t="shared" si="1"/>
        <v>2</v>
      </c>
      <c r="F9" s="74">
        <f t="shared" si="1"/>
        <v>3</v>
      </c>
      <c r="G9" s="74">
        <f t="shared" si="1"/>
        <v>4</v>
      </c>
      <c r="H9" s="74">
        <f t="shared" si="1"/>
        <v>5</v>
      </c>
      <c r="I9" s="74">
        <f t="shared" si="1"/>
        <v>6</v>
      </c>
      <c r="J9" s="74">
        <f t="shared" si="1"/>
        <v>7</v>
      </c>
      <c r="K9" s="74">
        <f t="shared" si="1"/>
        <v>1</v>
      </c>
      <c r="L9" s="74">
        <f t="shared" si="1"/>
        <v>2</v>
      </c>
      <c r="M9" s="74">
        <f t="shared" si="1"/>
        <v>3</v>
      </c>
      <c r="N9" s="74">
        <f t="shared" si="1"/>
        <v>4</v>
      </c>
      <c r="O9" s="74">
        <f t="shared" si="1"/>
        <v>5</v>
      </c>
      <c r="P9" s="74">
        <f t="shared" si="1"/>
        <v>6</v>
      </c>
      <c r="Q9" s="74">
        <f t="shared" si="1"/>
        <v>7</v>
      </c>
      <c r="R9" s="74">
        <f t="shared" si="1"/>
        <v>1</v>
      </c>
      <c r="S9" s="74">
        <f t="shared" si="1"/>
        <v>2</v>
      </c>
      <c r="T9" s="74">
        <f t="shared" si="1"/>
        <v>3</v>
      </c>
      <c r="U9" s="74">
        <f t="shared" si="1"/>
        <v>4</v>
      </c>
      <c r="V9" s="74">
        <f t="shared" si="1"/>
        <v>5</v>
      </c>
      <c r="W9" s="74">
        <f t="shared" si="1"/>
        <v>6</v>
      </c>
      <c r="X9" s="74">
        <f t="shared" si="1"/>
        <v>7</v>
      </c>
      <c r="Y9" s="74">
        <f t="shared" si="1"/>
        <v>1</v>
      </c>
      <c r="Z9" s="74">
        <f t="shared" si="1"/>
        <v>2</v>
      </c>
      <c r="AA9" s="74">
        <f t="shared" si="1"/>
        <v>3</v>
      </c>
      <c r="AB9" s="74">
        <f t="shared" si="1"/>
        <v>4</v>
      </c>
      <c r="AC9" s="74">
        <f t="shared" si="1"/>
        <v>5</v>
      </c>
      <c r="AD9" s="74">
        <f t="shared" si="1"/>
        <v>6</v>
      </c>
      <c r="AE9" s="74">
        <f t="shared" si="1"/>
        <v>7</v>
      </c>
      <c r="AF9" s="357"/>
      <c r="AG9" s="357"/>
      <c r="AH9" s="357"/>
      <c r="AI9" s="357"/>
      <c r="AJ9" s="357"/>
      <c r="AK9" s="357"/>
      <c r="AL9" s="357"/>
      <c r="AM9" s="357"/>
      <c r="AN9" s="357"/>
      <c r="AO9" s="357"/>
      <c r="AP9" s="357"/>
      <c r="AQ9" s="357"/>
      <c r="AR9" s="357"/>
    </row>
    <row r="10" spans="1:44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E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107" t="s">
        <v>231</v>
      </c>
      <c r="AG10" s="107" t="s">
        <v>232</v>
      </c>
      <c r="AH10" s="108" t="s">
        <v>233</v>
      </c>
      <c r="AI10" s="109" t="s">
        <v>234</v>
      </c>
      <c r="AJ10" s="110" t="s">
        <v>235</v>
      </c>
      <c r="AK10" s="111" t="s">
        <v>236</v>
      </c>
      <c r="AL10" s="112" t="s">
        <v>224</v>
      </c>
      <c r="AM10" s="113" t="s">
        <v>237</v>
      </c>
      <c r="AN10" s="114" t="s">
        <v>238</v>
      </c>
      <c r="AO10" s="115" t="s">
        <v>239</v>
      </c>
      <c r="AP10" s="116" t="s">
        <v>240</v>
      </c>
      <c r="AQ10" s="117" t="s">
        <v>241</v>
      </c>
      <c r="AR10" s="118" t="s">
        <v>242</v>
      </c>
    </row>
    <row r="11" spans="1:44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2"/>
    </row>
    <row r="12" spans="1:44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 t="s">
        <v>236</v>
      </c>
      <c r="J12" s="78"/>
      <c r="K12" s="78"/>
      <c r="L12" s="78" t="s">
        <v>236</v>
      </c>
      <c r="M12" s="78" t="s">
        <v>236</v>
      </c>
      <c r="N12" s="78" t="s">
        <v>236</v>
      </c>
      <c r="O12" s="78" t="s">
        <v>236</v>
      </c>
      <c r="P12" s="78" t="s">
        <v>236</v>
      </c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183">
        <f>COUNTIF(D12:AE12,"p")</f>
        <v>0</v>
      </c>
      <c r="AG12" s="183">
        <f>COUNTIF(D12:AE12,"AH")</f>
        <v>0</v>
      </c>
      <c r="AH12" s="184">
        <f>COUNTIF(D12:AE12,"PC")</f>
        <v>0</v>
      </c>
      <c r="AI12" s="185">
        <f>COUNTIF(D12:AE12,"f")</f>
        <v>0</v>
      </c>
      <c r="AJ12" s="186">
        <f>COUNTIF(D12:AE12,"ast")</f>
        <v>0</v>
      </c>
      <c r="AK12" s="187">
        <f>COUNTIF(D12:AE12,"cA")</f>
        <v>6</v>
      </c>
      <c r="AL12" s="188">
        <f>COUNTIF(D12:AE12,"rtt")</f>
        <v>0</v>
      </c>
      <c r="AM12" s="189">
        <f>COUNTIF(D12:AE12,"cex")</f>
        <v>0</v>
      </c>
      <c r="AN12" s="190">
        <f>COUNTIF(D12:AE12,"res")</f>
        <v>0</v>
      </c>
      <c r="AO12" s="191">
        <f>COUNTIF(D12:AE12,"mA")</f>
        <v>0</v>
      </c>
      <c r="AP12" s="192">
        <f>COUNTIF(D12:AE12,"at")</f>
        <v>0</v>
      </c>
      <c r="AQ12" s="193">
        <f>COUNTIF(D12:AE12,"TAD")</f>
        <v>0</v>
      </c>
      <c r="AR12" s="194">
        <f>COUNTIF(D12:AE12,"TP")</f>
        <v>0</v>
      </c>
    </row>
    <row r="13" spans="1:44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6"/>
    </row>
    <row r="14" spans="1:44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 t="s">
        <v>233</v>
      </c>
      <c r="G14" s="78"/>
      <c r="H14" s="78"/>
      <c r="I14" s="78"/>
      <c r="J14" s="78"/>
      <c r="K14" s="78"/>
      <c r="L14" s="78" t="s">
        <v>236</v>
      </c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183">
        <f>COUNTIF(D14:AE14,"p")</f>
        <v>0</v>
      </c>
      <c r="AG14" s="183">
        <f>COUNTIF(D14:AE14,"AH")</f>
        <v>0</v>
      </c>
      <c r="AH14" s="184">
        <f>COUNTIF(D14:AE14,"PC")</f>
        <v>1</v>
      </c>
      <c r="AI14" s="185">
        <f>COUNTIF(D14:AE14,"f")</f>
        <v>0</v>
      </c>
      <c r="AJ14" s="186">
        <f>COUNTIF(D14:AE14,"ast")</f>
        <v>0</v>
      </c>
      <c r="AK14" s="187">
        <f>COUNTIF(D14:AE14,"cA")</f>
        <v>1</v>
      </c>
      <c r="AL14" s="188">
        <f>COUNTIF(D14:AE14,"rtt")</f>
        <v>0</v>
      </c>
      <c r="AM14" s="189">
        <f>COUNTIF(D14:AE14,"cex")</f>
        <v>0</v>
      </c>
      <c r="AN14" s="190">
        <f>COUNTIF(D14:AE14,"res")</f>
        <v>0</v>
      </c>
      <c r="AO14" s="191">
        <f>COUNTIF(D14:AE14,"mA")</f>
        <v>0</v>
      </c>
      <c r="AP14" s="192">
        <f>COUNTIF(D14:AE14,"at")</f>
        <v>0</v>
      </c>
      <c r="AQ14" s="193">
        <f>COUNTIF(D14:AE14,"TAD")</f>
        <v>0</v>
      </c>
      <c r="AR14" s="194">
        <f>COUNTIF(D14:AE14,"TP")</f>
        <v>0</v>
      </c>
    </row>
    <row r="15" spans="1:44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5"/>
      <c r="AG15" s="255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6"/>
    </row>
    <row r="16" spans="1:44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1"/>
      <c r="AG16" s="261"/>
      <c r="AH16" s="261"/>
      <c r="AI16" s="261"/>
      <c r="AJ16" s="261"/>
      <c r="AK16" s="261"/>
      <c r="AL16" s="261"/>
      <c r="AM16" s="261"/>
      <c r="AN16" s="261"/>
      <c r="AO16" s="261"/>
      <c r="AP16" s="261"/>
      <c r="AQ16" s="261"/>
      <c r="AR16" s="262"/>
    </row>
    <row r="17" spans="1:44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183">
        <f>COUNTIF(D17:AE17,"p")</f>
        <v>0</v>
      </c>
      <c r="AG17" s="183">
        <f>COUNTIF(D17:AE17,"AH")</f>
        <v>0</v>
      </c>
      <c r="AH17" s="184">
        <f>COUNTIF(D17:AE17,"PC")</f>
        <v>0</v>
      </c>
      <c r="AI17" s="185">
        <f>COUNTIF(D17:AE17,"f")</f>
        <v>0</v>
      </c>
      <c r="AJ17" s="186">
        <f>COUNTIF(D17:AE17,"ast")</f>
        <v>0</v>
      </c>
      <c r="AK17" s="187">
        <f>COUNTIF(D17:AE17,"cA")</f>
        <v>0</v>
      </c>
      <c r="AL17" s="188">
        <f>COUNTIF(D17:AE17,"rtt")</f>
        <v>0</v>
      </c>
      <c r="AM17" s="189">
        <f>COUNTIF(D17:AE17,"cex")</f>
        <v>0</v>
      </c>
      <c r="AN17" s="190">
        <f>COUNTIF(D17:AE17,"res")</f>
        <v>0</v>
      </c>
      <c r="AO17" s="191">
        <f>COUNTIF(D17:AE17,"mA")</f>
        <v>0</v>
      </c>
      <c r="AP17" s="192">
        <f>COUNTIF(D17:AE17,"at")</f>
        <v>0</v>
      </c>
      <c r="AQ17" s="193">
        <f>COUNTIF(D17:AE17,"TAD")</f>
        <v>0</v>
      </c>
      <c r="AR17" s="194">
        <f>COUNTIF(D17:AE17,"TP")</f>
        <v>0</v>
      </c>
    </row>
    <row r="18" spans="1:44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7"/>
      <c r="AG18" s="267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8"/>
    </row>
    <row r="19" spans="1:44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 t="s">
        <v>233</v>
      </c>
      <c r="T19" s="78" t="s">
        <v>233</v>
      </c>
      <c r="U19" s="78" t="s">
        <v>233</v>
      </c>
      <c r="V19" s="78" t="s">
        <v>233</v>
      </c>
      <c r="W19" s="78" t="s">
        <v>233</v>
      </c>
      <c r="X19" s="78"/>
      <c r="Y19" s="78"/>
      <c r="Z19" s="78"/>
      <c r="AA19" s="78"/>
      <c r="AB19" s="78" t="s">
        <v>233</v>
      </c>
      <c r="AC19" s="78"/>
      <c r="AD19" s="78"/>
      <c r="AE19" s="78"/>
      <c r="AF19" s="183">
        <f>COUNTIF(D19:AE19,"p")</f>
        <v>0</v>
      </c>
      <c r="AG19" s="183">
        <f>COUNTIF(D19:AE19,"AH")</f>
        <v>0</v>
      </c>
      <c r="AH19" s="184">
        <f>COUNTIF(D19:AE19,"PC")</f>
        <v>6</v>
      </c>
      <c r="AI19" s="185">
        <f>COUNTIF(D19:AE19,"f")</f>
        <v>0</v>
      </c>
      <c r="AJ19" s="186">
        <f>COUNTIF(D19:AE19,"ast")</f>
        <v>0</v>
      </c>
      <c r="AK19" s="187">
        <f>COUNTIF(D19:AE19,"cA")</f>
        <v>0</v>
      </c>
      <c r="AL19" s="188">
        <f>COUNTIF(D19:AE19,"rtt")</f>
        <v>0</v>
      </c>
      <c r="AM19" s="189">
        <f>COUNTIF(D19:AE19,"cex")</f>
        <v>0</v>
      </c>
      <c r="AN19" s="190">
        <f>COUNTIF(D19:AE19,"res")</f>
        <v>0</v>
      </c>
      <c r="AO19" s="191">
        <f>COUNTIF(D19:AE19,"mA")</f>
        <v>0</v>
      </c>
      <c r="AP19" s="192">
        <f>COUNTIF(D19:AE19,"at")</f>
        <v>0</v>
      </c>
      <c r="AQ19" s="193">
        <f>COUNTIF(D19:AE19,"TAD")</f>
        <v>0</v>
      </c>
      <c r="AR19" s="194">
        <f>COUNTIF(D19:AE19,"TP")</f>
        <v>0</v>
      </c>
    </row>
    <row r="20" spans="1:44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227"/>
      <c r="AG20" s="227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8"/>
    </row>
    <row r="21" spans="1:44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 t="s">
        <v>233</v>
      </c>
      <c r="T21" s="78" t="s">
        <v>233</v>
      </c>
      <c r="U21" s="78" t="s">
        <v>233</v>
      </c>
      <c r="V21" s="78" t="s">
        <v>233</v>
      </c>
      <c r="W21" s="78" t="s">
        <v>233</v>
      </c>
      <c r="X21" s="78"/>
      <c r="Y21" s="78"/>
      <c r="Z21" s="78"/>
      <c r="AA21" s="78"/>
      <c r="AB21" s="78"/>
      <c r="AC21" s="78"/>
      <c r="AD21" s="78" t="s">
        <v>235</v>
      </c>
      <c r="AE21" s="78"/>
      <c r="AF21" s="183">
        <f>COUNTIF(D21:AE21,"p")</f>
        <v>0</v>
      </c>
      <c r="AG21" s="183">
        <f>COUNTIF(D21:AE21,"AH")</f>
        <v>0</v>
      </c>
      <c r="AH21" s="184">
        <f>COUNTIF(D21:AE21,"PC")</f>
        <v>5</v>
      </c>
      <c r="AI21" s="185">
        <f>COUNTIF(D21:AE21,"f")</f>
        <v>0</v>
      </c>
      <c r="AJ21" s="186">
        <f>COUNTIF(D21:AE21,"ast")</f>
        <v>1</v>
      </c>
      <c r="AK21" s="187">
        <f>COUNTIF(D21:AE21,"cA")</f>
        <v>0</v>
      </c>
      <c r="AL21" s="188">
        <f>COUNTIF(D21:AE21,"rtt")</f>
        <v>0</v>
      </c>
      <c r="AM21" s="189">
        <f>COUNTIF(D21:AE21,"cex")</f>
        <v>0</v>
      </c>
      <c r="AN21" s="190">
        <f>COUNTIF(D21:AE21,"res")</f>
        <v>0</v>
      </c>
      <c r="AO21" s="191">
        <f>COUNTIF(D21:AE21,"mA")</f>
        <v>0</v>
      </c>
      <c r="AP21" s="192">
        <f>COUNTIF(D21:AE21,"at")</f>
        <v>0</v>
      </c>
      <c r="AQ21" s="193">
        <f>COUNTIF(D21:AE21,"TAD")</f>
        <v>0</v>
      </c>
      <c r="AR21" s="194">
        <f>COUNTIF(D21:AE21,"TP")</f>
        <v>0</v>
      </c>
    </row>
    <row r="22" spans="1:44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227"/>
      <c r="AG22" s="227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8"/>
    </row>
    <row r="23" spans="1:44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203">
        <f>COUNTIF(D23:AE23,"p")</f>
        <v>0</v>
      </c>
      <c r="AG23" s="203">
        <f>COUNTIF(D23:AE23,"AH")</f>
        <v>0</v>
      </c>
      <c r="AH23" s="204">
        <f>COUNTIF(D23:AE23,"PC")</f>
        <v>0</v>
      </c>
      <c r="AI23" s="205">
        <f>COUNTIF(D23:AE23,"f")</f>
        <v>0</v>
      </c>
      <c r="AJ23" s="206">
        <f>COUNTIF(D23:AE23,"ast")</f>
        <v>0</v>
      </c>
      <c r="AK23" s="207">
        <f>COUNTIF(D23:AE23,"cA")</f>
        <v>0</v>
      </c>
      <c r="AL23" s="208">
        <f>COUNTIF(D23:AE23,"rtt")</f>
        <v>0</v>
      </c>
      <c r="AM23" s="209">
        <f>COUNTIF(D23:AE23,"cex")</f>
        <v>0</v>
      </c>
      <c r="AN23" s="210">
        <f>COUNTIF(D23:AE23,"res")</f>
        <v>0</v>
      </c>
      <c r="AO23" s="211">
        <f>COUNTIF(D23:AE23,"mA")</f>
        <v>0</v>
      </c>
      <c r="AP23" s="212">
        <f>COUNTIF(D23:AE23,"at")</f>
        <v>0</v>
      </c>
      <c r="AQ23" s="213">
        <f>COUNTIF(D23:AE23,"TAD")</f>
        <v>0</v>
      </c>
      <c r="AR23" s="214">
        <f>COUNTIF(D23:AE23,"TP")</f>
        <v>0</v>
      </c>
    </row>
    <row r="24" spans="1:44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215">
        <f>COUNTIF(D24:AE24,"p")</f>
        <v>0</v>
      </c>
      <c r="AG24" s="215">
        <f>COUNTIF(D24:AE24,"AH")</f>
        <v>0</v>
      </c>
      <c r="AH24" s="216">
        <f>COUNTIF(D24:AE24,"PC")</f>
        <v>0</v>
      </c>
      <c r="AI24" s="217">
        <f>COUNTIF(D24:AE24,"f")</f>
        <v>0</v>
      </c>
      <c r="AJ24" s="218">
        <f>COUNTIF(D24:AE24,"ast")</f>
        <v>0</v>
      </c>
      <c r="AK24" s="219">
        <f>COUNTIF(D24:AE24,"cA")</f>
        <v>0</v>
      </c>
      <c r="AL24" s="220">
        <f>COUNTIF(D24:AE24,"rtt")</f>
        <v>0</v>
      </c>
      <c r="AM24" s="221">
        <f>COUNTIF(D24:AE24,"cex")</f>
        <v>0</v>
      </c>
      <c r="AN24" s="222">
        <f>COUNTIF(D24:AE24,"res")</f>
        <v>0</v>
      </c>
      <c r="AO24" s="223">
        <f>COUNTIF(D24:AE24,"mA")</f>
        <v>0</v>
      </c>
      <c r="AP24" s="224">
        <f>COUNTIF(D24:AE24,"at")</f>
        <v>0</v>
      </c>
      <c r="AQ24" s="225">
        <f>COUNTIF(D24:AE24,"TAD")</f>
        <v>0</v>
      </c>
      <c r="AR24" s="226">
        <f>COUNTIF(D24:AE24,"TP")</f>
        <v>0</v>
      </c>
    </row>
    <row r="25" spans="1:44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227"/>
      <c r="AG25" s="227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8"/>
    </row>
    <row r="26" spans="1:44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 t="s">
        <v>242</v>
      </c>
      <c r="F26" s="80" t="s">
        <v>242</v>
      </c>
      <c r="G26" s="80" t="s">
        <v>242</v>
      </c>
      <c r="H26" s="80" t="s">
        <v>242</v>
      </c>
      <c r="I26" s="80" t="s">
        <v>242</v>
      </c>
      <c r="J26" s="80"/>
      <c r="K26" s="80"/>
      <c r="L26" s="80" t="s">
        <v>242</v>
      </c>
      <c r="M26" s="80" t="s">
        <v>242</v>
      </c>
      <c r="N26" s="80" t="s">
        <v>242</v>
      </c>
      <c r="O26" s="80" t="s">
        <v>242</v>
      </c>
      <c r="P26" s="80" t="s">
        <v>242</v>
      </c>
      <c r="Q26" s="80"/>
      <c r="R26" s="80"/>
      <c r="S26" s="80" t="s">
        <v>242</v>
      </c>
      <c r="T26" s="80" t="s">
        <v>242</v>
      </c>
      <c r="U26" s="80" t="s">
        <v>242</v>
      </c>
      <c r="V26" s="80" t="s">
        <v>242</v>
      </c>
      <c r="W26" s="80" t="s">
        <v>242</v>
      </c>
      <c r="X26" s="80"/>
      <c r="Y26" s="80"/>
      <c r="Z26" s="80" t="s">
        <v>242</v>
      </c>
      <c r="AA26" s="80" t="s">
        <v>242</v>
      </c>
      <c r="AB26" s="80" t="s">
        <v>242</v>
      </c>
      <c r="AC26" s="80" t="s">
        <v>242</v>
      </c>
      <c r="AD26" s="80" t="s">
        <v>242</v>
      </c>
      <c r="AE26" s="80"/>
      <c r="AF26" s="203">
        <f>COUNTIF(D26:AE26,"p")</f>
        <v>0</v>
      </c>
      <c r="AG26" s="203">
        <f>COUNTIF(D26:AE26,"AH")</f>
        <v>0</v>
      </c>
      <c r="AH26" s="204">
        <f>COUNTIF(D26:AE26,"PC")</f>
        <v>0</v>
      </c>
      <c r="AI26" s="205">
        <f>COUNTIF(D26:AE26,"f")</f>
        <v>0</v>
      </c>
      <c r="AJ26" s="206">
        <f>COUNTIF(D26:AE26,"ast")</f>
        <v>0</v>
      </c>
      <c r="AK26" s="207">
        <f>COUNTIF(D26:AE26,"cA")</f>
        <v>0</v>
      </c>
      <c r="AL26" s="208">
        <f>COUNTIF(D26:AE26,"rtt")</f>
        <v>0</v>
      </c>
      <c r="AM26" s="209">
        <f>COUNTIF(D26:AE26,"cex")</f>
        <v>0</v>
      </c>
      <c r="AN26" s="210">
        <f>COUNTIF(D26:AE26,"res")</f>
        <v>0</v>
      </c>
      <c r="AO26" s="211">
        <f>COUNTIF(D26:AE26,"mA")</f>
        <v>0</v>
      </c>
      <c r="AP26" s="212">
        <f>COUNTIF(D26:AE26,"at")</f>
        <v>0</v>
      </c>
      <c r="AQ26" s="213">
        <f>COUNTIF(D26:AE26,"TAD")</f>
        <v>0</v>
      </c>
      <c r="AR26" s="214">
        <f>COUNTIF(D26:AE26,"TP")</f>
        <v>20</v>
      </c>
    </row>
    <row r="27" spans="1:44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107">
        <f>COUNTIF(D27:AE27,"p")</f>
        <v>0</v>
      </c>
      <c r="AG27" s="107">
        <f>COUNTIF(D27:AE27,"AH")</f>
        <v>0</v>
      </c>
      <c r="AH27" s="108">
        <f>COUNTIF(D27:AE27,"PC")</f>
        <v>0</v>
      </c>
      <c r="AI27" s="109">
        <f>COUNTIF(D27:AE27,"f")</f>
        <v>0</v>
      </c>
      <c r="AJ27" s="110">
        <f>COUNTIF(D27:AE27,"ast")</f>
        <v>0</v>
      </c>
      <c r="AK27" s="111">
        <f>COUNTIF(D27:AE27,"cA")</f>
        <v>0</v>
      </c>
      <c r="AL27" s="112">
        <f>COUNTIF(D27:AE27,"rtt")</f>
        <v>0</v>
      </c>
      <c r="AM27" s="113">
        <f>COUNTIF(D27:AE27,"cex")</f>
        <v>0</v>
      </c>
      <c r="AN27" s="114">
        <f>COUNTIF(D27:AE27,"res")</f>
        <v>0</v>
      </c>
      <c r="AO27" s="115">
        <f>COUNTIF(D27:AE27,"mA")</f>
        <v>0</v>
      </c>
      <c r="AP27" s="116">
        <f>COUNTIF(D27:AE27,"at")</f>
        <v>0</v>
      </c>
      <c r="AQ27" s="117">
        <f>COUNTIF(D27:AE27,"TAD")</f>
        <v>0</v>
      </c>
      <c r="AR27" s="118">
        <f>COUNTIF(D27:AE27,"TP")</f>
        <v>0</v>
      </c>
    </row>
    <row r="28" spans="1:44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107">
        <f>COUNTIF(D28:AE28,"p")</f>
        <v>0</v>
      </c>
      <c r="AG28" s="107">
        <f>COUNTIF(D28:AE28,"AH")</f>
        <v>0</v>
      </c>
      <c r="AH28" s="108">
        <f>COUNTIF(D28:AE28,"PC")</f>
        <v>0</v>
      </c>
      <c r="AI28" s="109">
        <f>COUNTIF(D28:AE28,"f")</f>
        <v>0</v>
      </c>
      <c r="AJ28" s="110">
        <f>COUNTIF(D28:AE28,"ast")</f>
        <v>0</v>
      </c>
      <c r="AK28" s="111">
        <f>COUNTIF(D28:AE28,"cA")</f>
        <v>0</v>
      </c>
      <c r="AL28" s="112">
        <f>COUNTIF(D28:AE28,"rtt")</f>
        <v>0</v>
      </c>
      <c r="AM28" s="113">
        <f>COUNTIF(D28:AE28,"cex")</f>
        <v>0</v>
      </c>
      <c r="AN28" s="114">
        <f>COUNTIF(D28:AE28,"res")</f>
        <v>0</v>
      </c>
      <c r="AO28" s="115">
        <f>COUNTIF(D28:AE28,"mA")</f>
        <v>0</v>
      </c>
      <c r="AP28" s="116">
        <f>COUNTIF(D28:AE28,"at")</f>
        <v>0</v>
      </c>
      <c r="AQ28" s="117">
        <f>COUNTIF(D28:AE28,"TAD")</f>
        <v>0</v>
      </c>
      <c r="AR28" s="118">
        <f>COUNTIF(D28:AE28,"TP")</f>
        <v>0</v>
      </c>
    </row>
    <row r="29" spans="1:44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215">
        <f>COUNTIF(D29:AE29,"p")</f>
        <v>0</v>
      </c>
      <c r="AG29" s="215">
        <f>COUNTIF(D29:AE29,"AH")</f>
        <v>0</v>
      </c>
      <c r="AH29" s="216">
        <f>COUNTIF(D29:AE29,"PC")</f>
        <v>0</v>
      </c>
      <c r="AI29" s="217">
        <f>COUNTIF(D29:AE29,"f")</f>
        <v>0</v>
      </c>
      <c r="AJ29" s="218">
        <f>COUNTIF(D29:AE29,"ast")</f>
        <v>0</v>
      </c>
      <c r="AK29" s="219">
        <f>COUNTIF(D29:AE29,"cA")</f>
        <v>0</v>
      </c>
      <c r="AL29" s="220">
        <f>COUNTIF(D29:AE29,"rtt")</f>
        <v>0</v>
      </c>
      <c r="AM29" s="221">
        <f>COUNTIF(D29:AE29,"cex")</f>
        <v>0</v>
      </c>
      <c r="AN29" s="222">
        <f>COUNTIF(D29:AE29,"res")</f>
        <v>0</v>
      </c>
      <c r="AO29" s="223">
        <f>COUNTIF(D29:AE29,"mA")</f>
        <v>0</v>
      </c>
      <c r="AP29" s="224">
        <f>COUNTIF(D29:AE29,"at")</f>
        <v>0</v>
      </c>
      <c r="AQ29" s="225">
        <f>COUNTIF(D29:AE29,"TAD")</f>
        <v>0</v>
      </c>
      <c r="AR29" s="226">
        <f>COUNTIF(D29:AE29,"TP")</f>
        <v>0</v>
      </c>
    </row>
    <row r="30" spans="1:44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229"/>
      <c r="AG30" s="229"/>
      <c r="AH30" s="229"/>
      <c r="AI30" s="229"/>
      <c r="AJ30" s="229"/>
      <c r="AK30" s="229"/>
      <c r="AL30" s="229"/>
      <c r="AM30" s="229"/>
      <c r="AN30" s="229"/>
      <c r="AO30" s="229"/>
      <c r="AP30" s="229"/>
      <c r="AQ30" s="229"/>
      <c r="AR30" s="230"/>
    </row>
    <row r="31" spans="1:44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183">
        <f>COUNTIF(D31:AE31,"p")</f>
        <v>0</v>
      </c>
      <c r="AG31" s="183">
        <f>COUNTIF(D31:AE31,"AH")</f>
        <v>0</v>
      </c>
      <c r="AH31" s="184">
        <f>COUNTIF(D31:AE31,"PC")</f>
        <v>0</v>
      </c>
      <c r="AI31" s="185">
        <f>COUNTIF(D31:AE31,"f")</f>
        <v>0</v>
      </c>
      <c r="AJ31" s="186">
        <f>COUNTIF(D31:AE31,"ast")</f>
        <v>0</v>
      </c>
      <c r="AK31" s="187">
        <f>COUNTIF(D31:AE31,"cA")</f>
        <v>0</v>
      </c>
      <c r="AL31" s="188">
        <f>COUNTIF(D31:AE31,"rtt")</f>
        <v>0</v>
      </c>
      <c r="AM31" s="189">
        <f>COUNTIF(D31:AE31,"cex")</f>
        <v>0</v>
      </c>
      <c r="AN31" s="190">
        <f>COUNTIF(D31:AE31,"res")</f>
        <v>0</v>
      </c>
      <c r="AO31" s="191">
        <f>COUNTIF(D31:AE31,"mA")</f>
        <v>0</v>
      </c>
      <c r="AP31" s="192">
        <f>COUNTIF(D31:AE31,"at")</f>
        <v>0</v>
      </c>
      <c r="AQ31" s="193">
        <f>COUNTIF(D31:AE31,"TAD")</f>
        <v>0</v>
      </c>
      <c r="AR31" s="194">
        <f>COUNTIF(D31:AE31,"TP")</f>
        <v>0</v>
      </c>
    </row>
    <row r="32" spans="1:44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229"/>
      <c r="AG32" s="229"/>
      <c r="AH32" s="229"/>
      <c r="AI32" s="229"/>
      <c r="AJ32" s="229"/>
      <c r="AK32" s="229"/>
      <c r="AL32" s="229"/>
      <c r="AM32" s="229"/>
      <c r="AN32" s="229"/>
      <c r="AO32" s="229"/>
      <c r="AP32" s="229"/>
      <c r="AQ32" s="229"/>
      <c r="AR32" s="230"/>
    </row>
    <row r="33" spans="1:44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203">
        <f>COUNTIF(D33:AE33,"p")</f>
        <v>0</v>
      </c>
      <c r="AG33" s="203">
        <f>COUNTIF(D33:AE33,"AH")</f>
        <v>0</v>
      </c>
      <c r="AH33" s="204">
        <f>COUNTIF(D33:AE33,"PC")</f>
        <v>0</v>
      </c>
      <c r="AI33" s="205">
        <f>COUNTIF(D33:AE33,"f")</f>
        <v>0</v>
      </c>
      <c r="AJ33" s="206">
        <f>COUNTIF(D33:AE33,"ast")</f>
        <v>0</v>
      </c>
      <c r="AK33" s="207">
        <f>COUNTIF(D33:AE33,"cA")</f>
        <v>0</v>
      </c>
      <c r="AL33" s="208">
        <f>COUNTIF(D33:AE33,"rtt")</f>
        <v>0</v>
      </c>
      <c r="AM33" s="209">
        <f>COUNTIF(D33:AE33,"cex")</f>
        <v>0</v>
      </c>
      <c r="AN33" s="210">
        <f>COUNTIF(D33:AE33,"res")</f>
        <v>0</v>
      </c>
      <c r="AO33" s="211">
        <f>COUNTIF(D33:AE33,"mA")</f>
        <v>0</v>
      </c>
      <c r="AP33" s="212">
        <f>COUNTIF(D33:AE33,"at")</f>
        <v>0</v>
      </c>
      <c r="AQ33" s="213">
        <f>COUNTIF(D33:AE33,"TAD")</f>
        <v>0</v>
      </c>
      <c r="AR33" s="214">
        <f>COUNTIF(D33:AE33,"TP")</f>
        <v>0</v>
      </c>
    </row>
    <row r="34" spans="1:44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215">
        <f>COUNTIF(D34:AE34,"p")</f>
        <v>0</v>
      </c>
      <c r="AG34" s="215">
        <f>COUNTIF(D34:AE34,"AH")</f>
        <v>0</v>
      </c>
      <c r="AH34" s="216">
        <f>COUNTIF(D34:AE34,"PC")</f>
        <v>0</v>
      </c>
      <c r="AI34" s="217">
        <f>COUNTIF(D34:AE34,"f")</f>
        <v>0</v>
      </c>
      <c r="AJ34" s="218">
        <f>COUNTIF(D34:AE34,"ast")</f>
        <v>0</v>
      </c>
      <c r="AK34" s="219">
        <f>COUNTIF(D34:AE34,"cA")</f>
        <v>0</v>
      </c>
      <c r="AL34" s="220">
        <f>COUNTIF(D34:AE34,"rtt")</f>
        <v>0</v>
      </c>
      <c r="AM34" s="221">
        <f>COUNTIF(D34:AE34,"cex")</f>
        <v>0</v>
      </c>
      <c r="AN34" s="222">
        <f>COUNTIF(D34:AE34,"res")</f>
        <v>0</v>
      </c>
      <c r="AO34" s="223">
        <f>COUNTIF(D34:AE34,"mA")</f>
        <v>0</v>
      </c>
      <c r="AP34" s="224">
        <f>COUNTIF(D34:AE34,"at")</f>
        <v>0</v>
      </c>
      <c r="AQ34" s="225">
        <f>COUNTIF(D34:AE34,"TAD")</f>
        <v>0</v>
      </c>
      <c r="AR34" s="226">
        <f>COUNTIF(D34:AE34,"TP")</f>
        <v>0</v>
      </c>
    </row>
    <row r="35" spans="1:44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229"/>
      <c r="AG35" s="229"/>
      <c r="AH35" s="229"/>
      <c r="AI35" s="229"/>
      <c r="AJ35" s="229"/>
      <c r="AK35" s="229"/>
      <c r="AL35" s="229"/>
      <c r="AM35" s="229"/>
      <c r="AN35" s="229"/>
      <c r="AO35" s="229"/>
      <c r="AP35" s="229"/>
      <c r="AQ35" s="229"/>
      <c r="AR35" s="230"/>
    </row>
    <row r="36" spans="1:44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203">
        <f>COUNTIF(D36:AE36,"p")</f>
        <v>0</v>
      </c>
      <c r="AG36" s="203">
        <f>COUNTIF(D36:AE36,"AH")</f>
        <v>0</v>
      </c>
      <c r="AH36" s="204">
        <f>COUNTIF(D36:AE36,"PC")</f>
        <v>0</v>
      </c>
      <c r="AI36" s="205">
        <f>COUNTIF(D36:AE36,"f")</f>
        <v>0</v>
      </c>
      <c r="AJ36" s="206">
        <f>COUNTIF(D36:AE36,"ast")</f>
        <v>0</v>
      </c>
      <c r="AK36" s="207">
        <f>COUNTIF(D36:AE36,"cA")</f>
        <v>0</v>
      </c>
      <c r="AL36" s="208">
        <f>COUNTIF(D36:AE36,"rtt")</f>
        <v>0</v>
      </c>
      <c r="AM36" s="209">
        <f>COUNTIF(D36:AE36,"cex")</f>
        <v>0</v>
      </c>
      <c r="AN36" s="210">
        <f>COUNTIF(D36:AE36,"res")</f>
        <v>0</v>
      </c>
      <c r="AO36" s="211">
        <f>COUNTIF(D36:AE36,"mA")</f>
        <v>0</v>
      </c>
      <c r="AP36" s="212">
        <f>COUNTIF(D36:AE36,"at")</f>
        <v>0</v>
      </c>
      <c r="AQ36" s="213">
        <f>COUNTIF(D36:AE36,"TAD")</f>
        <v>0</v>
      </c>
      <c r="AR36" s="214">
        <f>COUNTIF(D36:AE36,"TP")</f>
        <v>0</v>
      </c>
    </row>
    <row r="37" spans="1:44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E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9"/>
      <c r="AG37" s="239"/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</row>
    <row r="38" spans="1:44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8"/>
    </row>
    <row r="39" spans="1:44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99"/>
      <c r="AG39" s="199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200"/>
    </row>
    <row r="40" spans="1:44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183">
        <f>COUNTIF(D40:AE40,"p")</f>
        <v>0</v>
      </c>
      <c r="AG40" s="183">
        <f>COUNTIF(D40:AE40,"AH")</f>
        <v>0</v>
      </c>
      <c r="AH40" s="184">
        <f>COUNTIF(D40:AE40,"PC")</f>
        <v>0</v>
      </c>
      <c r="AI40" s="185">
        <f>COUNTIF(D40:AE40,"f")</f>
        <v>0</v>
      </c>
      <c r="AJ40" s="186">
        <f>COUNTIF(D40:AE40,"ast")</f>
        <v>0</v>
      </c>
      <c r="AK40" s="187">
        <f>COUNTIF(D40:AE40,"cA")</f>
        <v>0</v>
      </c>
      <c r="AL40" s="188">
        <f>COUNTIF(D40:AE40,"rtt")</f>
        <v>0</v>
      </c>
      <c r="AM40" s="189">
        <f>COUNTIF(D40:AE40,"cex")</f>
        <v>0</v>
      </c>
      <c r="AN40" s="190">
        <f>COUNTIF(D40:AE40,"res")</f>
        <v>0</v>
      </c>
      <c r="AO40" s="191">
        <f>COUNTIF(D40:AE40,"mA")</f>
        <v>0</v>
      </c>
      <c r="AP40" s="192">
        <f>COUNTIF(D40:AE40,"at")</f>
        <v>0</v>
      </c>
      <c r="AQ40" s="193">
        <f>COUNTIF(D40:AE40,"TAD")</f>
        <v>0</v>
      </c>
      <c r="AR40" s="194">
        <f>COUNTIF(D40:AE40,"TP")</f>
        <v>0</v>
      </c>
    </row>
    <row r="41" spans="1:44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2"/>
    </row>
    <row r="42" spans="1:44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 t="s">
        <v>236</v>
      </c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183">
        <f>COUNTIF(D42:AE42,"p")</f>
        <v>0</v>
      </c>
      <c r="AG42" s="183">
        <f>COUNTIF(D42:AE42,"AH")</f>
        <v>0</v>
      </c>
      <c r="AH42" s="184">
        <f>COUNTIF(D42:AE42,"PC")</f>
        <v>0</v>
      </c>
      <c r="AI42" s="185">
        <f>COUNTIF(D42:AE42,"f")</f>
        <v>0</v>
      </c>
      <c r="AJ42" s="186">
        <f>COUNTIF(D42:AE42,"ast")</f>
        <v>0</v>
      </c>
      <c r="AK42" s="187">
        <f>COUNTIF(D42:AE42,"cA")</f>
        <v>1</v>
      </c>
      <c r="AL42" s="188">
        <f>COUNTIF(D42:AE42,"rtt")</f>
        <v>0</v>
      </c>
      <c r="AM42" s="189">
        <f>COUNTIF(D42:AE42,"cex")</f>
        <v>0</v>
      </c>
      <c r="AN42" s="190">
        <f>COUNTIF(D42:AE42,"res")</f>
        <v>0</v>
      </c>
      <c r="AO42" s="191">
        <f>COUNTIF(D42:AE42,"mA")</f>
        <v>0</v>
      </c>
      <c r="AP42" s="192">
        <f>COUNTIF(D42:AE42,"at")</f>
        <v>0</v>
      </c>
      <c r="AQ42" s="193">
        <f>COUNTIF(D42:AE42,"TAD")</f>
        <v>0</v>
      </c>
      <c r="AR42" s="194">
        <f>COUNTIF(D42:AE42,"TP")</f>
        <v>0</v>
      </c>
    </row>
    <row r="43" spans="1:44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2"/>
    </row>
    <row r="44" spans="1:44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203">
        <f>COUNTIF(D44:AE44,"p")</f>
        <v>0</v>
      </c>
      <c r="AG44" s="203">
        <f>COUNTIF(D44:AE44,"AH")</f>
        <v>0</v>
      </c>
      <c r="AH44" s="204">
        <f>COUNTIF(D44:AE44,"PC")</f>
        <v>0</v>
      </c>
      <c r="AI44" s="205">
        <f>COUNTIF(D44:AE44,"f")</f>
        <v>0</v>
      </c>
      <c r="AJ44" s="206">
        <f>COUNTIF(D44:AE44,"ast")</f>
        <v>0</v>
      </c>
      <c r="AK44" s="207">
        <f>COUNTIF(D44:AE44,"cA")</f>
        <v>0</v>
      </c>
      <c r="AL44" s="208">
        <f>COUNTIF(D44:AE44,"rtt")</f>
        <v>0</v>
      </c>
      <c r="AM44" s="209">
        <f>COUNTIF(D44:AE44,"cex")</f>
        <v>0</v>
      </c>
      <c r="AN44" s="210">
        <f>COUNTIF(D44:AE44,"res")</f>
        <v>0</v>
      </c>
      <c r="AO44" s="211">
        <f>COUNTIF(D44:AE44,"mA")</f>
        <v>0</v>
      </c>
      <c r="AP44" s="212">
        <f>COUNTIF(D44:AE44,"at")</f>
        <v>0</v>
      </c>
      <c r="AQ44" s="213">
        <f>COUNTIF(D44:AE44,"TAD")</f>
        <v>0</v>
      </c>
      <c r="AR44" s="214">
        <f>COUNTIF(D44:AE44,"TP")</f>
        <v>0</v>
      </c>
    </row>
    <row r="45" spans="1:44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215">
        <f>COUNTIF(D45:AE45,"p")</f>
        <v>0</v>
      </c>
      <c r="AG45" s="215">
        <f>COUNTIF(D45:AE45,"AH")</f>
        <v>0</v>
      </c>
      <c r="AH45" s="216">
        <f>COUNTIF(D45:AE45,"PC")</f>
        <v>0</v>
      </c>
      <c r="AI45" s="217">
        <f>COUNTIF(D45:AE45,"f")</f>
        <v>0</v>
      </c>
      <c r="AJ45" s="218">
        <f>COUNTIF(D45:AE45,"ast")</f>
        <v>0</v>
      </c>
      <c r="AK45" s="219">
        <f>COUNTIF(D45:AE45,"cA")</f>
        <v>0</v>
      </c>
      <c r="AL45" s="220">
        <f>COUNTIF(D45:AE45,"rtt")</f>
        <v>0</v>
      </c>
      <c r="AM45" s="221">
        <f>COUNTIF(D45:AE45,"cex")</f>
        <v>0</v>
      </c>
      <c r="AN45" s="222">
        <f>COUNTIF(D45:AE45,"res")</f>
        <v>0</v>
      </c>
      <c r="AO45" s="223">
        <f>COUNTIF(D45:AE45,"mA")</f>
        <v>0</v>
      </c>
      <c r="AP45" s="224">
        <f>COUNTIF(D45:AE45,"at")</f>
        <v>0</v>
      </c>
      <c r="AQ45" s="225">
        <f>COUNTIF(D45:AE45,"TAD")</f>
        <v>0</v>
      </c>
      <c r="AR45" s="226">
        <f>COUNTIF(D45:AE45,"TP")</f>
        <v>0</v>
      </c>
    </row>
    <row r="46" spans="1:44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201"/>
      <c r="AG46" s="201"/>
      <c r="AH46" s="201"/>
      <c r="AI46" s="201"/>
      <c r="AJ46" s="201"/>
      <c r="AK46" s="201"/>
      <c r="AL46" s="201"/>
      <c r="AM46" s="201"/>
      <c r="AN46" s="201"/>
      <c r="AO46" s="201"/>
      <c r="AP46" s="201"/>
      <c r="AQ46" s="201"/>
      <c r="AR46" s="202"/>
    </row>
    <row r="47" spans="1:44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203">
        <f>COUNTIF(D47:AE47,"p")</f>
        <v>0</v>
      </c>
      <c r="AG47" s="203">
        <f>COUNTIF(D47:AE47,"AH")</f>
        <v>0</v>
      </c>
      <c r="AH47" s="204">
        <f>COUNTIF(D47:AE47,"PC")</f>
        <v>0</v>
      </c>
      <c r="AI47" s="205">
        <f>COUNTIF(D47:AE47,"f")</f>
        <v>0</v>
      </c>
      <c r="AJ47" s="206">
        <f>COUNTIF(D47:AE47,"ast")</f>
        <v>0</v>
      </c>
      <c r="AK47" s="207">
        <f>COUNTIF(D47:AE47,"cA")</f>
        <v>0</v>
      </c>
      <c r="AL47" s="208">
        <f>COUNTIF(D47:AE47,"rtt")</f>
        <v>0</v>
      </c>
      <c r="AM47" s="209">
        <f>COUNTIF(D47:AE47,"cex")</f>
        <v>0</v>
      </c>
      <c r="AN47" s="210">
        <f>COUNTIF(D47:AE47,"res")</f>
        <v>0</v>
      </c>
      <c r="AO47" s="211">
        <f>COUNTIF(D47:AE47,"mA")</f>
        <v>0</v>
      </c>
      <c r="AP47" s="212">
        <f>COUNTIF(D47:AE47,"at")</f>
        <v>0</v>
      </c>
      <c r="AQ47" s="213">
        <f>COUNTIF(D47:AE47,"TAD")</f>
        <v>0</v>
      </c>
      <c r="AR47" s="214">
        <f>COUNTIF(D47:AE47,"TP")</f>
        <v>0</v>
      </c>
    </row>
    <row r="48" spans="1:44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215">
        <f>COUNTIF(D48:AE48,"p")</f>
        <v>0</v>
      </c>
      <c r="AG48" s="215">
        <f>COUNTIF(D48:AE48,"AH")</f>
        <v>0</v>
      </c>
      <c r="AH48" s="216">
        <f>COUNTIF(D48:AE48,"PC")</f>
        <v>0</v>
      </c>
      <c r="AI48" s="217">
        <f>COUNTIF(D48:AE48,"f")</f>
        <v>0</v>
      </c>
      <c r="AJ48" s="218">
        <f>COUNTIF(D48:AE48,"ast")</f>
        <v>0</v>
      </c>
      <c r="AK48" s="219">
        <f>COUNTIF(D48:AE48,"cA")</f>
        <v>0</v>
      </c>
      <c r="AL48" s="220">
        <f>COUNTIF(D48:AE48,"rtt")</f>
        <v>0</v>
      </c>
      <c r="AM48" s="221">
        <f>COUNTIF(D48:AE48,"cex")</f>
        <v>0</v>
      </c>
      <c r="AN48" s="222">
        <f>COUNTIF(D48:AE48,"res")</f>
        <v>0</v>
      </c>
      <c r="AO48" s="223">
        <f>COUNTIF(D48:AE48,"mA")</f>
        <v>0</v>
      </c>
      <c r="AP48" s="224">
        <f>COUNTIF(D48:AE48,"at")</f>
        <v>0</v>
      </c>
      <c r="AQ48" s="225">
        <f>COUNTIF(D48:AE48,"TAD")</f>
        <v>0</v>
      </c>
      <c r="AR48" s="226">
        <f>COUNTIF(D48:AE48,"TP")</f>
        <v>0</v>
      </c>
    </row>
    <row r="49" spans="1:44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232"/>
      <c r="AG49" s="232"/>
      <c r="AH49" s="232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</row>
    <row r="50" spans="1:44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107">
        <f t="shared" ref="AF50:AF59" si="4">COUNTIF(D50:AE50,"p")</f>
        <v>0</v>
      </c>
      <c r="AG50" s="107">
        <f t="shared" ref="AG50:AG59" si="5">COUNTIF(D50:AE50,"AH")</f>
        <v>0</v>
      </c>
      <c r="AH50" s="108">
        <f t="shared" ref="AH50:AH59" si="6">COUNTIF(D50:AE50,"PC")</f>
        <v>0</v>
      </c>
      <c r="AI50" s="109">
        <f t="shared" ref="AI50:AI59" si="7">COUNTIF(D50:AE50,"f")</f>
        <v>0</v>
      </c>
      <c r="AJ50" s="110">
        <f t="shared" ref="AJ50:AJ59" si="8">COUNTIF(D50:AE50,"ast")</f>
        <v>0</v>
      </c>
      <c r="AK50" s="111">
        <f t="shared" ref="AK50:AK59" si="9">COUNTIF(D50:AE50,"cA")</f>
        <v>0</v>
      </c>
      <c r="AL50" s="112">
        <f t="shared" ref="AL50:AL59" si="10">COUNTIF(D50:AE50,"rtt")</f>
        <v>0</v>
      </c>
      <c r="AM50" s="113">
        <f t="shared" ref="AM50:AM59" si="11">COUNTIF(D50:AE50,"cex")</f>
        <v>0</v>
      </c>
      <c r="AN50" s="114">
        <f t="shared" ref="AN50:AN59" si="12">COUNTIF(D50:AE50,"res")</f>
        <v>0</v>
      </c>
      <c r="AO50" s="115">
        <f t="shared" ref="AO50:AO59" si="13">COUNTIF(D50:AE50,"mA")</f>
        <v>0</v>
      </c>
      <c r="AP50" s="116">
        <f t="shared" ref="AP50:AP59" si="14">COUNTIF(D50:AE50,"at")</f>
        <v>0</v>
      </c>
      <c r="AQ50" s="117">
        <f t="shared" ref="AQ50:AQ59" si="15">COUNTIF(D50:AE50,"TAD")</f>
        <v>0</v>
      </c>
      <c r="AR50" s="118">
        <f t="shared" ref="AR50:AR59" si="16">COUNTIF(D50:AE50,"TP")</f>
        <v>0</v>
      </c>
    </row>
    <row r="51" spans="1:44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 t="s">
        <v>233</v>
      </c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107">
        <f t="shared" si="4"/>
        <v>0</v>
      </c>
      <c r="AG51" s="107">
        <f t="shared" si="5"/>
        <v>0</v>
      </c>
      <c r="AH51" s="108">
        <f t="shared" si="6"/>
        <v>1</v>
      </c>
      <c r="AI51" s="109">
        <f t="shared" si="7"/>
        <v>0</v>
      </c>
      <c r="AJ51" s="110">
        <f t="shared" si="8"/>
        <v>0</v>
      </c>
      <c r="AK51" s="111">
        <f t="shared" si="9"/>
        <v>0</v>
      </c>
      <c r="AL51" s="112">
        <f t="shared" si="10"/>
        <v>0</v>
      </c>
      <c r="AM51" s="113">
        <f t="shared" si="11"/>
        <v>0</v>
      </c>
      <c r="AN51" s="114">
        <f t="shared" si="12"/>
        <v>0</v>
      </c>
      <c r="AO51" s="115">
        <f t="shared" si="13"/>
        <v>0</v>
      </c>
      <c r="AP51" s="116">
        <f t="shared" si="14"/>
        <v>0</v>
      </c>
      <c r="AQ51" s="117">
        <f t="shared" si="15"/>
        <v>0</v>
      </c>
      <c r="AR51" s="118">
        <f t="shared" si="16"/>
        <v>0</v>
      </c>
    </row>
    <row r="52" spans="1:44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107">
        <f t="shared" si="4"/>
        <v>0</v>
      </c>
      <c r="AG52" s="107">
        <f t="shared" si="5"/>
        <v>0</v>
      </c>
      <c r="AH52" s="108">
        <f t="shared" si="6"/>
        <v>0</v>
      </c>
      <c r="AI52" s="109">
        <f t="shared" si="7"/>
        <v>0</v>
      </c>
      <c r="AJ52" s="110">
        <f t="shared" si="8"/>
        <v>0</v>
      </c>
      <c r="AK52" s="111">
        <f t="shared" si="9"/>
        <v>0</v>
      </c>
      <c r="AL52" s="112">
        <f t="shared" si="10"/>
        <v>0</v>
      </c>
      <c r="AM52" s="113">
        <f t="shared" si="11"/>
        <v>0</v>
      </c>
      <c r="AN52" s="114">
        <f t="shared" si="12"/>
        <v>0</v>
      </c>
      <c r="AO52" s="115">
        <f t="shared" si="13"/>
        <v>0</v>
      </c>
      <c r="AP52" s="116">
        <f t="shared" si="14"/>
        <v>0</v>
      </c>
      <c r="AQ52" s="117">
        <f t="shared" si="15"/>
        <v>0</v>
      </c>
      <c r="AR52" s="118">
        <f t="shared" si="16"/>
        <v>0</v>
      </c>
    </row>
    <row r="53" spans="1:44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 t="s">
        <v>233</v>
      </c>
      <c r="T53" s="75" t="s">
        <v>233</v>
      </c>
      <c r="U53" s="75" t="s">
        <v>233</v>
      </c>
      <c r="V53" s="75" t="s">
        <v>233</v>
      </c>
      <c r="W53" s="75" t="s">
        <v>233</v>
      </c>
      <c r="X53" s="75"/>
      <c r="Y53" s="75"/>
      <c r="Z53" s="75"/>
      <c r="AA53" s="75"/>
      <c r="AB53" s="75"/>
      <c r="AC53" s="75"/>
      <c r="AD53" s="75"/>
      <c r="AE53" s="75"/>
      <c r="AF53" s="107">
        <f t="shared" si="4"/>
        <v>0</v>
      </c>
      <c r="AG53" s="107">
        <f t="shared" si="5"/>
        <v>0</v>
      </c>
      <c r="AH53" s="108">
        <f t="shared" si="6"/>
        <v>5</v>
      </c>
      <c r="AI53" s="109">
        <f t="shared" si="7"/>
        <v>0</v>
      </c>
      <c r="AJ53" s="110">
        <f t="shared" si="8"/>
        <v>0</v>
      </c>
      <c r="AK53" s="111">
        <f t="shared" si="9"/>
        <v>0</v>
      </c>
      <c r="AL53" s="112">
        <f t="shared" si="10"/>
        <v>0</v>
      </c>
      <c r="AM53" s="113">
        <f t="shared" si="11"/>
        <v>0</v>
      </c>
      <c r="AN53" s="114">
        <f t="shared" si="12"/>
        <v>0</v>
      </c>
      <c r="AO53" s="115">
        <f t="shared" si="13"/>
        <v>0</v>
      </c>
      <c r="AP53" s="116">
        <f t="shared" si="14"/>
        <v>0</v>
      </c>
      <c r="AQ53" s="117">
        <f t="shared" si="15"/>
        <v>0</v>
      </c>
      <c r="AR53" s="118">
        <f t="shared" si="16"/>
        <v>0</v>
      </c>
    </row>
    <row r="54" spans="1:44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 t="s">
        <v>238</v>
      </c>
      <c r="I54" s="75" t="s">
        <v>238</v>
      </c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107">
        <f t="shared" si="4"/>
        <v>0</v>
      </c>
      <c r="AG54" s="107">
        <f t="shared" si="5"/>
        <v>0</v>
      </c>
      <c r="AH54" s="108">
        <f t="shared" si="6"/>
        <v>0</v>
      </c>
      <c r="AI54" s="109">
        <f t="shared" si="7"/>
        <v>0</v>
      </c>
      <c r="AJ54" s="110">
        <f t="shared" si="8"/>
        <v>0</v>
      </c>
      <c r="AK54" s="111">
        <f t="shared" si="9"/>
        <v>0</v>
      </c>
      <c r="AL54" s="112">
        <f t="shared" si="10"/>
        <v>0</v>
      </c>
      <c r="AM54" s="113">
        <f t="shared" si="11"/>
        <v>0</v>
      </c>
      <c r="AN54" s="114">
        <f t="shared" si="12"/>
        <v>2</v>
      </c>
      <c r="AO54" s="115">
        <f t="shared" si="13"/>
        <v>0</v>
      </c>
      <c r="AP54" s="116">
        <f t="shared" si="14"/>
        <v>0</v>
      </c>
      <c r="AQ54" s="117">
        <f t="shared" si="15"/>
        <v>0</v>
      </c>
      <c r="AR54" s="118">
        <f t="shared" si="16"/>
        <v>0</v>
      </c>
    </row>
    <row r="55" spans="1:44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107">
        <f t="shared" si="4"/>
        <v>0</v>
      </c>
      <c r="AG55" s="107">
        <f t="shared" si="5"/>
        <v>0</v>
      </c>
      <c r="AH55" s="108">
        <f t="shared" si="6"/>
        <v>0</v>
      </c>
      <c r="AI55" s="109">
        <f t="shared" si="7"/>
        <v>0</v>
      </c>
      <c r="AJ55" s="110">
        <f t="shared" si="8"/>
        <v>0</v>
      </c>
      <c r="AK55" s="111">
        <f t="shared" si="9"/>
        <v>0</v>
      </c>
      <c r="AL55" s="112">
        <f t="shared" si="10"/>
        <v>0</v>
      </c>
      <c r="AM55" s="113">
        <f t="shared" si="11"/>
        <v>0</v>
      </c>
      <c r="AN55" s="114">
        <f t="shared" si="12"/>
        <v>0</v>
      </c>
      <c r="AO55" s="115">
        <f t="shared" si="13"/>
        <v>0</v>
      </c>
      <c r="AP55" s="116">
        <f t="shared" si="14"/>
        <v>0</v>
      </c>
      <c r="AQ55" s="117">
        <f t="shared" si="15"/>
        <v>0</v>
      </c>
      <c r="AR55" s="118">
        <f t="shared" si="16"/>
        <v>0</v>
      </c>
    </row>
    <row r="56" spans="1:44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 t="s">
        <v>240</v>
      </c>
      <c r="F56" s="75" t="s">
        <v>240</v>
      </c>
      <c r="G56" s="75" t="s">
        <v>240</v>
      </c>
      <c r="H56" s="75" t="s">
        <v>240</v>
      </c>
      <c r="I56" s="75" t="s">
        <v>240</v>
      </c>
      <c r="J56" s="75"/>
      <c r="K56" s="75"/>
      <c r="L56" s="75" t="s">
        <v>240</v>
      </c>
      <c r="M56" s="75" t="s">
        <v>240</v>
      </c>
      <c r="N56" s="75" t="s">
        <v>240</v>
      </c>
      <c r="O56" s="75" t="s">
        <v>240</v>
      </c>
      <c r="P56" s="75" t="s">
        <v>240</v>
      </c>
      <c r="Q56" s="75"/>
      <c r="R56" s="75"/>
      <c r="S56" s="75" t="s">
        <v>240</v>
      </c>
      <c r="T56" s="75" t="s">
        <v>240</v>
      </c>
      <c r="U56" s="75" t="s">
        <v>240</v>
      </c>
      <c r="V56" s="75" t="s">
        <v>240</v>
      </c>
      <c r="W56" s="75" t="s">
        <v>240</v>
      </c>
      <c r="X56" s="75"/>
      <c r="Y56" s="75"/>
      <c r="Z56" s="75" t="s">
        <v>240</v>
      </c>
      <c r="AA56" s="75" t="s">
        <v>240</v>
      </c>
      <c r="AB56" s="75" t="s">
        <v>240</v>
      </c>
      <c r="AC56" s="75" t="s">
        <v>240</v>
      </c>
      <c r="AD56" s="75" t="s">
        <v>240</v>
      </c>
      <c r="AE56" s="75"/>
      <c r="AF56" s="107">
        <f t="shared" si="4"/>
        <v>0</v>
      </c>
      <c r="AG56" s="107">
        <f t="shared" si="5"/>
        <v>0</v>
      </c>
      <c r="AH56" s="108">
        <f t="shared" si="6"/>
        <v>0</v>
      </c>
      <c r="AI56" s="109">
        <f t="shared" si="7"/>
        <v>0</v>
      </c>
      <c r="AJ56" s="110">
        <f t="shared" si="8"/>
        <v>0</v>
      </c>
      <c r="AK56" s="111">
        <f t="shared" si="9"/>
        <v>0</v>
      </c>
      <c r="AL56" s="112">
        <f t="shared" si="10"/>
        <v>0</v>
      </c>
      <c r="AM56" s="113">
        <f t="shared" si="11"/>
        <v>0</v>
      </c>
      <c r="AN56" s="114">
        <f t="shared" si="12"/>
        <v>0</v>
      </c>
      <c r="AO56" s="115">
        <f t="shared" si="13"/>
        <v>0</v>
      </c>
      <c r="AP56" s="116">
        <f t="shared" si="14"/>
        <v>20</v>
      </c>
      <c r="AQ56" s="117">
        <f t="shared" si="15"/>
        <v>0</v>
      </c>
      <c r="AR56" s="118">
        <f t="shared" si="16"/>
        <v>0</v>
      </c>
    </row>
    <row r="57" spans="1:44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107">
        <f t="shared" si="4"/>
        <v>0</v>
      </c>
      <c r="AG57" s="107">
        <f t="shared" si="5"/>
        <v>0</v>
      </c>
      <c r="AH57" s="108">
        <f t="shared" si="6"/>
        <v>0</v>
      </c>
      <c r="AI57" s="109">
        <f t="shared" si="7"/>
        <v>0</v>
      </c>
      <c r="AJ57" s="110">
        <f t="shared" si="8"/>
        <v>0</v>
      </c>
      <c r="AK57" s="111">
        <f t="shared" si="9"/>
        <v>0</v>
      </c>
      <c r="AL57" s="112">
        <f t="shared" si="10"/>
        <v>0</v>
      </c>
      <c r="AM57" s="113">
        <f t="shared" si="11"/>
        <v>0</v>
      </c>
      <c r="AN57" s="114">
        <f t="shared" si="12"/>
        <v>0</v>
      </c>
      <c r="AO57" s="115">
        <f t="shared" si="13"/>
        <v>0</v>
      </c>
      <c r="AP57" s="116">
        <f t="shared" si="14"/>
        <v>0</v>
      </c>
      <c r="AQ57" s="117">
        <f t="shared" si="15"/>
        <v>0</v>
      </c>
      <c r="AR57" s="118">
        <f t="shared" si="16"/>
        <v>0</v>
      </c>
    </row>
    <row r="58" spans="1:44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107">
        <f t="shared" si="4"/>
        <v>0</v>
      </c>
      <c r="AG58" s="107">
        <f t="shared" si="5"/>
        <v>0</v>
      </c>
      <c r="AH58" s="108">
        <f t="shared" si="6"/>
        <v>0</v>
      </c>
      <c r="AI58" s="109">
        <f t="shared" si="7"/>
        <v>0</v>
      </c>
      <c r="AJ58" s="110">
        <f t="shared" si="8"/>
        <v>0</v>
      </c>
      <c r="AK58" s="111">
        <f t="shared" si="9"/>
        <v>0</v>
      </c>
      <c r="AL58" s="112">
        <f t="shared" si="10"/>
        <v>0</v>
      </c>
      <c r="AM58" s="113">
        <f t="shared" si="11"/>
        <v>0</v>
      </c>
      <c r="AN58" s="114">
        <f t="shared" si="12"/>
        <v>0</v>
      </c>
      <c r="AO58" s="115">
        <f t="shared" si="13"/>
        <v>0</v>
      </c>
      <c r="AP58" s="116">
        <f t="shared" si="14"/>
        <v>0</v>
      </c>
      <c r="AQ58" s="117">
        <f t="shared" si="15"/>
        <v>0</v>
      </c>
      <c r="AR58" s="118">
        <f t="shared" si="16"/>
        <v>0</v>
      </c>
    </row>
    <row r="59" spans="1:44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 t="s">
        <v>233</v>
      </c>
      <c r="M59" s="75" t="s">
        <v>233</v>
      </c>
      <c r="N59" s="75" t="s">
        <v>233</v>
      </c>
      <c r="O59" s="75" t="s">
        <v>233</v>
      </c>
      <c r="P59" s="75" t="s">
        <v>233</v>
      </c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107">
        <f t="shared" si="4"/>
        <v>0</v>
      </c>
      <c r="AG59" s="107">
        <f t="shared" si="5"/>
        <v>0</v>
      </c>
      <c r="AH59" s="108">
        <f t="shared" si="6"/>
        <v>5</v>
      </c>
      <c r="AI59" s="109">
        <f t="shared" si="7"/>
        <v>0</v>
      </c>
      <c r="AJ59" s="110">
        <f t="shared" si="8"/>
        <v>0</v>
      </c>
      <c r="AK59" s="111">
        <f t="shared" si="9"/>
        <v>0</v>
      </c>
      <c r="AL59" s="112">
        <f t="shared" si="10"/>
        <v>0</v>
      </c>
      <c r="AM59" s="113">
        <f t="shared" si="11"/>
        <v>0</v>
      </c>
      <c r="AN59" s="114">
        <f t="shared" si="12"/>
        <v>0</v>
      </c>
      <c r="AO59" s="115">
        <f t="shared" si="13"/>
        <v>0</v>
      </c>
      <c r="AP59" s="116">
        <f t="shared" si="14"/>
        <v>0</v>
      </c>
      <c r="AQ59" s="117">
        <f t="shared" si="15"/>
        <v>0</v>
      </c>
      <c r="AR59" s="118">
        <f t="shared" si="16"/>
        <v>0</v>
      </c>
    </row>
    <row r="60" spans="1:44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E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3"/>
    </row>
    <row r="61" spans="1:44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</row>
    <row r="62" spans="1:44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107">
        <f t="shared" ref="AF62:AF72" si="18">COUNTIF(D62:AE62,"p")</f>
        <v>0</v>
      </c>
      <c r="AG62" s="107">
        <f t="shared" ref="AG62:AG72" si="19">COUNTIF(D62:AE62,"AH")</f>
        <v>0</v>
      </c>
      <c r="AH62" s="108">
        <f t="shared" ref="AH62:AH72" si="20">COUNTIF(D62:AE62,"PC")</f>
        <v>0</v>
      </c>
      <c r="AI62" s="109">
        <f t="shared" ref="AI62:AI72" si="21">COUNTIF(D62:AE62,"f")</f>
        <v>0</v>
      </c>
      <c r="AJ62" s="110">
        <f t="shared" ref="AJ62:AJ72" si="22">COUNTIF(D62:AE62,"ast")</f>
        <v>0</v>
      </c>
      <c r="AK62" s="111">
        <f t="shared" ref="AK62:AK72" si="23">COUNTIF(D62:AE62,"cA")</f>
        <v>0</v>
      </c>
      <c r="AL62" s="112">
        <f t="shared" ref="AL62:AL72" si="24">COUNTIF(D62:AE62,"rtt")</f>
        <v>0</v>
      </c>
      <c r="AM62" s="113">
        <f t="shared" ref="AM62:AM72" si="25">COUNTIF(D62:AE62,"cex")</f>
        <v>0</v>
      </c>
      <c r="AN62" s="114">
        <f t="shared" ref="AN62:AN72" si="26">COUNTIF(D62:AE62,"res")</f>
        <v>0</v>
      </c>
      <c r="AO62" s="115">
        <f t="shared" ref="AO62:AO72" si="27">COUNTIF(D62:AE62,"mA")</f>
        <v>0</v>
      </c>
      <c r="AP62" s="116">
        <f t="shared" ref="AP62:AP72" si="28">COUNTIF(D62:AE62,"at")</f>
        <v>0</v>
      </c>
      <c r="AQ62" s="117">
        <f t="shared" ref="AQ62:AQ72" si="29">COUNTIF(D62:AE62,"TAD")</f>
        <v>0</v>
      </c>
      <c r="AR62" s="118">
        <f t="shared" ref="AR62:AR72" si="30">COUNTIF(D62:AE62,"TP")</f>
        <v>0</v>
      </c>
    </row>
    <row r="63" spans="1:44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107">
        <f t="shared" si="18"/>
        <v>0</v>
      </c>
      <c r="AG63" s="107">
        <f t="shared" si="19"/>
        <v>0</v>
      </c>
      <c r="AH63" s="108">
        <f t="shared" si="20"/>
        <v>0</v>
      </c>
      <c r="AI63" s="109">
        <f t="shared" si="21"/>
        <v>0</v>
      </c>
      <c r="AJ63" s="110">
        <f t="shared" si="22"/>
        <v>0</v>
      </c>
      <c r="AK63" s="111">
        <f t="shared" si="23"/>
        <v>0</v>
      </c>
      <c r="AL63" s="112">
        <f t="shared" si="24"/>
        <v>0</v>
      </c>
      <c r="AM63" s="113">
        <f t="shared" si="25"/>
        <v>0</v>
      </c>
      <c r="AN63" s="114">
        <f t="shared" si="26"/>
        <v>0</v>
      </c>
      <c r="AO63" s="115">
        <f t="shared" si="27"/>
        <v>0</v>
      </c>
      <c r="AP63" s="116">
        <f t="shared" si="28"/>
        <v>0</v>
      </c>
      <c r="AQ63" s="117">
        <f t="shared" si="29"/>
        <v>0</v>
      </c>
      <c r="AR63" s="118">
        <f t="shared" si="30"/>
        <v>0</v>
      </c>
    </row>
    <row r="64" spans="1:44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107">
        <f t="shared" si="18"/>
        <v>0</v>
      </c>
      <c r="AG64" s="107">
        <f t="shared" si="19"/>
        <v>0</v>
      </c>
      <c r="AH64" s="108">
        <f t="shared" si="20"/>
        <v>0</v>
      </c>
      <c r="AI64" s="109">
        <f t="shared" si="21"/>
        <v>0</v>
      </c>
      <c r="AJ64" s="110">
        <f t="shared" si="22"/>
        <v>0</v>
      </c>
      <c r="AK64" s="111">
        <f t="shared" si="23"/>
        <v>0</v>
      </c>
      <c r="AL64" s="112">
        <f t="shared" si="24"/>
        <v>0</v>
      </c>
      <c r="AM64" s="113">
        <f t="shared" si="25"/>
        <v>0</v>
      </c>
      <c r="AN64" s="114">
        <f t="shared" si="26"/>
        <v>0</v>
      </c>
      <c r="AO64" s="115">
        <f t="shared" si="27"/>
        <v>0</v>
      </c>
      <c r="AP64" s="116">
        <f t="shared" si="28"/>
        <v>0</v>
      </c>
      <c r="AQ64" s="117">
        <f t="shared" si="29"/>
        <v>0</v>
      </c>
      <c r="AR64" s="118">
        <f t="shared" si="30"/>
        <v>0</v>
      </c>
    </row>
    <row r="65" spans="1:44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107">
        <f t="shared" si="18"/>
        <v>0</v>
      </c>
      <c r="AG65" s="107">
        <f t="shared" si="19"/>
        <v>0</v>
      </c>
      <c r="AH65" s="108">
        <f t="shared" si="20"/>
        <v>0</v>
      </c>
      <c r="AI65" s="109">
        <f t="shared" si="21"/>
        <v>0</v>
      </c>
      <c r="AJ65" s="110">
        <f t="shared" si="22"/>
        <v>0</v>
      </c>
      <c r="AK65" s="111">
        <f t="shared" si="23"/>
        <v>0</v>
      </c>
      <c r="AL65" s="112">
        <f t="shared" si="24"/>
        <v>0</v>
      </c>
      <c r="AM65" s="113">
        <f t="shared" si="25"/>
        <v>0</v>
      </c>
      <c r="AN65" s="114">
        <f t="shared" si="26"/>
        <v>0</v>
      </c>
      <c r="AO65" s="115">
        <f t="shared" si="27"/>
        <v>0</v>
      </c>
      <c r="AP65" s="116">
        <f t="shared" si="28"/>
        <v>0</v>
      </c>
      <c r="AQ65" s="117">
        <f t="shared" si="29"/>
        <v>0</v>
      </c>
      <c r="AR65" s="118">
        <f t="shared" si="30"/>
        <v>0</v>
      </c>
    </row>
    <row r="66" spans="1:44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107">
        <f t="shared" si="18"/>
        <v>0</v>
      </c>
      <c r="AG66" s="107">
        <f t="shared" si="19"/>
        <v>0</v>
      </c>
      <c r="AH66" s="108">
        <f t="shared" si="20"/>
        <v>0</v>
      </c>
      <c r="AI66" s="109">
        <f t="shared" si="21"/>
        <v>0</v>
      </c>
      <c r="AJ66" s="110">
        <f t="shared" si="22"/>
        <v>0</v>
      </c>
      <c r="AK66" s="111">
        <f t="shared" si="23"/>
        <v>0</v>
      </c>
      <c r="AL66" s="112">
        <f t="shared" si="24"/>
        <v>0</v>
      </c>
      <c r="AM66" s="113">
        <f t="shared" si="25"/>
        <v>0</v>
      </c>
      <c r="AN66" s="114">
        <f t="shared" si="26"/>
        <v>0</v>
      </c>
      <c r="AO66" s="115">
        <f t="shared" si="27"/>
        <v>0</v>
      </c>
      <c r="AP66" s="116">
        <f t="shared" si="28"/>
        <v>0</v>
      </c>
      <c r="AQ66" s="117">
        <f t="shared" si="29"/>
        <v>0</v>
      </c>
      <c r="AR66" s="118">
        <f t="shared" si="30"/>
        <v>0</v>
      </c>
    </row>
    <row r="67" spans="1:44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107">
        <f t="shared" si="18"/>
        <v>0</v>
      </c>
      <c r="AG67" s="107">
        <f t="shared" si="19"/>
        <v>0</v>
      </c>
      <c r="AH67" s="108">
        <f t="shared" si="20"/>
        <v>0</v>
      </c>
      <c r="AI67" s="109">
        <f t="shared" si="21"/>
        <v>0</v>
      </c>
      <c r="AJ67" s="110">
        <f t="shared" si="22"/>
        <v>0</v>
      </c>
      <c r="AK67" s="111">
        <f t="shared" si="23"/>
        <v>0</v>
      </c>
      <c r="AL67" s="112">
        <f t="shared" si="24"/>
        <v>0</v>
      </c>
      <c r="AM67" s="113">
        <f t="shared" si="25"/>
        <v>0</v>
      </c>
      <c r="AN67" s="114">
        <f t="shared" si="26"/>
        <v>0</v>
      </c>
      <c r="AO67" s="115">
        <f t="shared" si="27"/>
        <v>0</v>
      </c>
      <c r="AP67" s="116">
        <f t="shared" si="28"/>
        <v>0</v>
      </c>
      <c r="AQ67" s="117">
        <f t="shared" si="29"/>
        <v>0</v>
      </c>
      <c r="AR67" s="118">
        <f t="shared" si="30"/>
        <v>0</v>
      </c>
    </row>
    <row r="68" spans="1:44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107">
        <f t="shared" si="18"/>
        <v>0</v>
      </c>
      <c r="AG68" s="107">
        <f t="shared" si="19"/>
        <v>0</v>
      </c>
      <c r="AH68" s="108">
        <f t="shared" si="20"/>
        <v>0</v>
      </c>
      <c r="AI68" s="109">
        <f t="shared" si="21"/>
        <v>0</v>
      </c>
      <c r="AJ68" s="110">
        <f t="shared" si="22"/>
        <v>0</v>
      </c>
      <c r="AK68" s="111">
        <f t="shared" si="23"/>
        <v>0</v>
      </c>
      <c r="AL68" s="112">
        <f t="shared" si="24"/>
        <v>0</v>
      </c>
      <c r="AM68" s="113">
        <f t="shared" si="25"/>
        <v>0</v>
      </c>
      <c r="AN68" s="114">
        <f t="shared" si="26"/>
        <v>0</v>
      </c>
      <c r="AO68" s="115">
        <f t="shared" si="27"/>
        <v>0</v>
      </c>
      <c r="AP68" s="116">
        <f t="shared" si="28"/>
        <v>0</v>
      </c>
      <c r="AQ68" s="117">
        <f t="shared" si="29"/>
        <v>0</v>
      </c>
      <c r="AR68" s="118">
        <f t="shared" si="30"/>
        <v>0</v>
      </c>
    </row>
    <row r="69" spans="1:44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107">
        <f t="shared" si="18"/>
        <v>0</v>
      </c>
      <c r="AG69" s="107">
        <f t="shared" si="19"/>
        <v>0</v>
      </c>
      <c r="AH69" s="108">
        <f t="shared" si="20"/>
        <v>0</v>
      </c>
      <c r="AI69" s="109">
        <f t="shared" si="21"/>
        <v>0</v>
      </c>
      <c r="AJ69" s="110">
        <f t="shared" si="22"/>
        <v>0</v>
      </c>
      <c r="AK69" s="111">
        <f t="shared" si="23"/>
        <v>0</v>
      </c>
      <c r="AL69" s="112">
        <f t="shared" si="24"/>
        <v>0</v>
      </c>
      <c r="AM69" s="113">
        <f t="shared" si="25"/>
        <v>0</v>
      </c>
      <c r="AN69" s="114">
        <f t="shared" si="26"/>
        <v>0</v>
      </c>
      <c r="AO69" s="115">
        <f t="shared" si="27"/>
        <v>0</v>
      </c>
      <c r="AP69" s="116">
        <f t="shared" si="28"/>
        <v>0</v>
      </c>
      <c r="AQ69" s="117">
        <f t="shared" si="29"/>
        <v>0</v>
      </c>
      <c r="AR69" s="118">
        <f t="shared" si="30"/>
        <v>0</v>
      </c>
    </row>
    <row r="70" spans="1:44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 t="s">
        <v>234</v>
      </c>
      <c r="M70" s="75" t="s">
        <v>234</v>
      </c>
      <c r="N70" s="75" t="s">
        <v>234</v>
      </c>
      <c r="O70" s="75" t="s">
        <v>234</v>
      </c>
      <c r="P70" s="75" t="s">
        <v>234</v>
      </c>
      <c r="Q70" s="75"/>
      <c r="R70" s="75"/>
      <c r="S70" s="75"/>
      <c r="T70" s="75"/>
      <c r="U70" s="75"/>
      <c r="V70" s="75"/>
      <c r="W70" s="75"/>
      <c r="X70" s="75"/>
      <c r="Y70" s="75"/>
      <c r="Z70" s="75" t="s">
        <v>234</v>
      </c>
      <c r="AA70" s="75" t="s">
        <v>234</v>
      </c>
      <c r="AB70" s="75" t="s">
        <v>234</v>
      </c>
      <c r="AC70" s="75" t="s">
        <v>234</v>
      </c>
      <c r="AD70" s="75" t="s">
        <v>234</v>
      </c>
      <c r="AE70" s="75"/>
      <c r="AF70" s="107">
        <f t="shared" si="18"/>
        <v>0</v>
      </c>
      <c r="AG70" s="107">
        <f t="shared" si="19"/>
        <v>0</v>
      </c>
      <c r="AH70" s="108">
        <f t="shared" si="20"/>
        <v>0</v>
      </c>
      <c r="AI70" s="109">
        <f t="shared" si="21"/>
        <v>10</v>
      </c>
      <c r="AJ70" s="110">
        <f t="shared" si="22"/>
        <v>0</v>
      </c>
      <c r="AK70" s="111">
        <f t="shared" si="23"/>
        <v>0</v>
      </c>
      <c r="AL70" s="112">
        <f t="shared" si="24"/>
        <v>0</v>
      </c>
      <c r="AM70" s="113">
        <f t="shared" si="25"/>
        <v>0</v>
      </c>
      <c r="AN70" s="114">
        <f t="shared" si="26"/>
        <v>0</v>
      </c>
      <c r="AO70" s="115">
        <f t="shared" si="27"/>
        <v>0</v>
      </c>
      <c r="AP70" s="116">
        <f t="shared" si="28"/>
        <v>0</v>
      </c>
      <c r="AQ70" s="117">
        <f t="shared" si="29"/>
        <v>0</v>
      </c>
      <c r="AR70" s="118">
        <f t="shared" si="30"/>
        <v>0</v>
      </c>
    </row>
    <row r="71" spans="1:44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107">
        <f t="shared" si="18"/>
        <v>0</v>
      </c>
      <c r="AG71" s="107">
        <f t="shared" si="19"/>
        <v>0</v>
      </c>
      <c r="AH71" s="108">
        <f t="shared" si="20"/>
        <v>0</v>
      </c>
      <c r="AI71" s="109">
        <f t="shared" si="21"/>
        <v>0</v>
      </c>
      <c r="AJ71" s="110">
        <f t="shared" si="22"/>
        <v>0</v>
      </c>
      <c r="AK71" s="111">
        <f t="shared" si="23"/>
        <v>0</v>
      </c>
      <c r="AL71" s="112">
        <f t="shared" si="24"/>
        <v>0</v>
      </c>
      <c r="AM71" s="113">
        <f t="shared" si="25"/>
        <v>0</v>
      </c>
      <c r="AN71" s="114">
        <f t="shared" si="26"/>
        <v>0</v>
      </c>
      <c r="AO71" s="115">
        <f t="shared" si="27"/>
        <v>0</v>
      </c>
      <c r="AP71" s="116">
        <f t="shared" si="28"/>
        <v>0</v>
      </c>
      <c r="AQ71" s="117">
        <f t="shared" si="29"/>
        <v>0</v>
      </c>
      <c r="AR71" s="118">
        <f t="shared" si="30"/>
        <v>0</v>
      </c>
    </row>
    <row r="72" spans="1:44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107">
        <f t="shared" si="18"/>
        <v>0</v>
      </c>
      <c r="AG72" s="107">
        <f t="shared" si="19"/>
        <v>0</v>
      </c>
      <c r="AH72" s="108">
        <f t="shared" si="20"/>
        <v>0</v>
      </c>
      <c r="AI72" s="109">
        <f t="shared" si="21"/>
        <v>0</v>
      </c>
      <c r="AJ72" s="110">
        <f t="shared" si="22"/>
        <v>0</v>
      </c>
      <c r="AK72" s="111">
        <f t="shared" si="23"/>
        <v>0</v>
      </c>
      <c r="AL72" s="112">
        <f t="shared" si="24"/>
        <v>0</v>
      </c>
      <c r="AM72" s="113">
        <f t="shared" si="25"/>
        <v>0</v>
      </c>
      <c r="AN72" s="114">
        <f t="shared" si="26"/>
        <v>0</v>
      </c>
      <c r="AO72" s="115">
        <f t="shared" si="27"/>
        <v>0</v>
      </c>
      <c r="AP72" s="116">
        <f t="shared" si="28"/>
        <v>0</v>
      </c>
      <c r="AQ72" s="117">
        <f t="shared" si="29"/>
        <v>0</v>
      </c>
      <c r="AR72" s="118">
        <f t="shared" si="30"/>
        <v>0</v>
      </c>
    </row>
    <row r="73" spans="1:44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E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235"/>
      <c r="AG73" s="235"/>
      <c r="AH73" s="235"/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</row>
    <row r="74" spans="1:44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E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3"/>
    </row>
    <row r="75" spans="1:44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236"/>
      <c r="AG75" s="236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</row>
    <row r="76" spans="1:44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107">
        <f>COUNTIF(D76:AE76,"p")</f>
        <v>0</v>
      </c>
      <c r="AG76" s="107">
        <f>COUNTIF(D76:AE76,"AH")</f>
        <v>0</v>
      </c>
      <c r="AH76" s="108">
        <f>COUNTIF(D76:AE76,"PC")</f>
        <v>0</v>
      </c>
      <c r="AI76" s="109">
        <f>COUNTIF(D76:AE76,"f")</f>
        <v>0</v>
      </c>
      <c r="AJ76" s="110">
        <f>COUNTIF(D76:AE76,"ast")</f>
        <v>0</v>
      </c>
      <c r="AK76" s="111">
        <f>COUNTIF(D76:AE76,"cA")</f>
        <v>0</v>
      </c>
      <c r="AL76" s="112">
        <f>COUNTIF(D76:AE76,"rtt")</f>
        <v>0</v>
      </c>
      <c r="AM76" s="113">
        <f>COUNTIF(D76:AE76,"cex")</f>
        <v>0</v>
      </c>
      <c r="AN76" s="114">
        <f>COUNTIF(D76:AE76,"res")</f>
        <v>0</v>
      </c>
      <c r="AO76" s="115">
        <f>COUNTIF(D76:AE76,"mA")</f>
        <v>0</v>
      </c>
      <c r="AP76" s="116">
        <f>COUNTIF(D76:AE76,"at")</f>
        <v>0</v>
      </c>
      <c r="AQ76" s="117">
        <f>COUNTIF(D76:AE76,"TAD")</f>
        <v>0</v>
      </c>
      <c r="AR76" s="118">
        <f>COUNTIF(D76:AE76,"TP")</f>
        <v>0</v>
      </c>
    </row>
    <row r="77" spans="1:44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107">
        <f>COUNTIF(D77:AE77,"p")</f>
        <v>0</v>
      </c>
      <c r="AG77" s="107">
        <f>COUNTIF(D77:AE77,"AH")</f>
        <v>0</v>
      </c>
      <c r="AH77" s="108">
        <f>COUNTIF(D77:AE77,"PC")</f>
        <v>0</v>
      </c>
      <c r="AI77" s="109">
        <f>COUNTIF(D77:AE77,"f")</f>
        <v>0</v>
      </c>
      <c r="AJ77" s="110">
        <f>COUNTIF(D77:AE77,"ast")</f>
        <v>0</v>
      </c>
      <c r="AK77" s="111">
        <f>COUNTIF(D77:AE77,"cA")</f>
        <v>0</v>
      </c>
      <c r="AL77" s="112">
        <f>COUNTIF(D77:AE77,"rtt")</f>
        <v>0</v>
      </c>
      <c r="AM77" s="113">
        <f>COUNTIF(D77:AE77,"cex")</f>
        <v>0</v>
      </c>
      <c r="AN77" s="114">
        <f>COUNTIF(D77:AE77,"res")</f>
        <v>0</v>
      </c>
      <c r="AO77" s="115">
        <f>COUNTIF(D77:AE77,"mA")</f>
        <v>0</v>
      </c>
      <c r="AP77" s="116">
        <f>COUNTIF(D77:AE77,"at")</f>
        <v>0</v>
      </c>
      <c r="AQ77" s="117">
        <f>COUNTIF(D77:AE77,"TAD")</f>
        <v>0</v>
      </c>
      <c r="AR77" s="118">
        <f>COUNTIF(D77:AE77,"TP")</f>
        <v>0</v>
      </c>
    </row>
    <row r="78" spans="1:44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</row>
    <row r="79" spans="1:44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 t="s">
        <v>242</v>
      </c>
      <c r="G79" s="80"/>
      <c r="H79" s="80" t="s">
        <v>242</v>
      </c>
      <c r="I79" s="80"/>
      <c r="J79" s="80"/>
      <c r="K79" s="80"/>
      <c r="L79" s="80" t="s">
        <v>242</v>
      </c>
      <c r="M79" s="80"/>
      <c r="N79" s="80" t="s">
        <v>242</v>
      </c>
      <c r="O79" s="80"/>
      <c r="P79" s="80" t="s">
        <v>242</v>
      </c>
      <c r="Q79" s="80"/>
      <c r="R79" s="80"/>
      <c r="S79" s="80"/>
      <c r="T79" s="80" t="s">
        <v>242</v>
      </c>
      <c r="U79" s="80"/>
      <c r="V79" s="80" t="s">
        <v>242</v>
      </c>
      <c r="W79" s="80"/>
      <c r="X79" s="80"/>
      <c r="Y79" s="80"/>
      <c r="Z79" s="80" t="s">
        <v>242</v>
      </c>
      <c r="AA79" s="80"/>
      <c r="AB79" s="80" t="s">
        <v>242</v>
      </c>
      <c r="AC79" s="80"/>
      <c r="AD79" s="80" t="s">
        <v>242</v>
      </c>
      <c r="AE79" s="80"/>
      <c r="AF79" s="107">
        <f>COUNTIF(D79:AE79,"p")</f>
        <v>0</v>
      </c>
      <c r="AG79" s="107">
        <f>COUNTIF(D79:AE79,"AH")</f>
        <v>0</v>
      </c>
      <c r="AH79" s="108">
        <f>COUNTIF(D79:AE79,"PC")</f>
        <v>0</v>
      </c>
      <c r="AI79" s="109">
        <f>COUNTIF(D79:AE79,"f")</f>
        <v>0</v>
      </c>
      <c r="AJ79" s="110">
        <f>COUNTIF(D79:AE79,"ast")</f>
        <v>0</v>
      </c>
      <c r="AK79" s="111">
        <f>COUNTIF(D79:AE79,"cA")</f>
        <v>0</v>
      </c>
      <c r="AL79" s="112">
        <f>COUNTIF(D79:AE79,"rtt")</f>
        <v>0</v>
      </c>
      <c r="AM79" s="113">
        <f>COUNTIF(D79:AE79,"cex")</f>
        <v>0</v>
      </c>
      <c r="AN79" s="114">
        <f>COUNTIF(D79:AE79,"res")</f>
        <v>0</v>
      </c>
      <c r="AO79" s="115">
        <f>COUNTIF(D79:AE79,"mA")</f>
        <v>0</v>
      </c>
      <c r="AP79" s="116">
        <f>COUNTIF(D79:AE79,"at")</f>
        <v>0</v>
      </c>
      <c r="AQ79" s="117">
        <f>COUNTIF(D79:AE79,"TAD")</f>
        <v>0</v>
      </c>
      <c r="AR79" s="118">
        <f>COUNTIF(D79:AE79,"TP")</f>
        <v>10</v>
      </c>
    </row>
    <row r="80" spans="1:44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107">
        <f>COUNTIF(D80:AE80,"p")</f>
        <v>0</v>
      </c>
      <c r="AG80" s="107">
        <f>COUNTIF(D80:AE80,"AH")</f>
        <v>0</v>
      </c>
      <c r="AH80" s="108">
        <f>COUNTIF(D80:AE80,"PC")</f>
        <v>0</v>
      </c>
      <c r="AI80" s="109">
        <f>COUNTIF(D80:AE80,"f")</f>
        <v>0</v>
      </c>
      <c r="AJ80" s="110">
        <f>COUNTIF(D80:AE80,"ast")</f>
        <v>0</v>
      </c>
      <c r="AK80" s="111">
        <f>COUNTIF(D80:AE80,"cA")</f>
        <v>0</v>
      </c>
      <c r="AL80" s="112">
        <f>COUNTIF(D80:AE80,"rtt")</f>
        <v>0</v>
      </c>
      <c r="AM80" s="113">
        <f>COUNTIF(D80:AE80,"cex")</f>
        <v>0</v>
      </c>
      <c r="AN80" s="114">
        <f>COUNTIF(D80:AE80,"res")</f>
        <v>0</v>
      </c>
      <c r="AO80" s="115">
        <f>COUNTIF(D80:AE80,"mA")</f>
        <v>0</v>
      </c>
      <c r="AP80" s="116">
        <f>COUNTIF(D80:AE80,"at")</f>
        <v>0</v>
      </c>
      <c r="AQ80" s="117">
        <f>COUNTIF(D80:AE80,"TAD")</f>
        <v>0</v>
      </c>
      <c r="AR80" s="118">
        <f>COUNTIF(D80:AE80,"TP")</f>
        <v>0</v>
      </c>
    </row>
    <row r="82" spans="4:31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</row>
    <row r="83" spans="4:31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</row>
    <row r="84" spans="4:31" ht="15" customHeight="1" thickBot="1" x14ac:dyDescent="0.25">
      <c r="D84" s="101">
        <f>COUNTIF(D11:AE36,"p")</f>
        <v>0</v>
      </c>
      <c r="E84" s="102">
        <f>COUNTIF(D11:AE36,"AH")</f>
        <v>0</v>
      </c>
      <c r="F84" s="102">
        <f>COUNTIF(D11:AE36,"PC")</f>
        <v>12</v>
      </c>
      <c r="G84" s="102">
        <f>COUNTIF(D11:AE36,"f")</f>
        <v>0</v>
      </c>
      <c r="H84" s="102">
        <f>COUNTIF(D11:AE36,"ast")</f>
        <v>1</v>
      </c>
      <c r="I84" s="102">
        <f>COUNTIF(D11:AE36,"ca")</f>
        <v>7</v>
      </c>
      <c r="J84" s="102">
        <f>COUNTIF(D11:AE36,"rtt")</f>
        <v>0</v>
      </c>
      <c r="K84" s="102">
        <f>COUNTIF(D11:AE36,"CEX")</f>
        <v>0</v>
      </c>
      <c r="L84" s="102">
        <f>COUNTIF(D11:AE36,"RES")</f>
        <v>0</v>
      </c>
      <c r="M84" s="102">
        <f>COUNTIF(D11:AE36,"MA")</f>
        <v>0</v>
      </c>
      <c r="N84" s="102">
        <f>COUNTIF(D11:AE36,"AT")</f>
        <v>0</v>
      </c>
      <c r="O84" s="102">
        <f>COUNTIF(D11:AE36,"TAD")</f>
        <v>0</v>
      </c>
      <c r="P84" s="103">
        <f>COUNTIF(D11:AE36,"TP")</f>
        <v>20</v>
      </c>
      <c r="W84" s="104">
        <f>COUNTIF(D50:AE59,"p")</f>
        <v>0</v>
      </c>
      <c r="X84" s="105">
        <f>COUNTIF(D50:AE59,"AH")</f>
        <v>0</v>
      </c>
      <c r="Y84" s="105">
        <f>COUNTIF(D50:AE59,"PC")</f>
        <v>11</v>
      </c>
      <c r="Z84" s="105">
        <f>COUNTIF(D50:AE59,"f")</f>
        <v>0</v>
      </c>
      <c r="AA84" s="105">
        <f>COUNTIF(D50:AE59,"ast")</f>
        <v>0</v>
      </c>
      <c r="AB84" s="105">
        <f>COUNTIF(D50:AE59,"ca")</f>
        <v>0</v>
      </c>
      <c r="AC84" s="105">
        <f>COUNTIF(D50:AE59,"rtt")</f>
        <v>0</v>
      </c>
      <c r="AD84" s="105">
        <f>COUNTIF(D50:AE59,"CEX")</f>
        <v>0</v>
      </c>
      <c r="AE84" s="105">
        <f>COUNTIF(D50:AE59,"RES")</f>
        <v>2</v>
      </c>
    </row>
    <row r="104" spans="4:31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</row>
    <row r="105" spans="4:31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</row>
    <row r="106" spans="4:31" ht="15" customHeight="1" thickBot="1" x14ac:dyDescent="0.25">
      <c r="D106" s="104">
        <f>COUNTIF(D62:AE72,"p")</f>
        <v>0</v>
      </c>
      <c r="E106" s="105">
        <f>COUNTIF(D62:AE72,"AH")</f>
        <v>0</v>
      </c>
      <c r="F106" s="105">
        <f>COUNTIF(D62:AE72,"PC")</f>
        <v>0</v>
      </c>
      <c r="G106" s="105">
        <f>COUNTIF(D62:AE72,"f")</f>
        <v>10</v>
      </c>
      <c r="H106" s="105">
        <f>COUNTIF(D62:AE72,"ast")</f>
        <v>0</v>
      </c>
      <c r="I106" s="105">
        <f>COUNTIF(D62:AE72,"ca")</f>
        <v>0</v>
      </c>
      <c r="J106" s="105">
        <f>COUNTIF(D62:AE72,"rtt")</f>
        <v>0</v>
      </c>
      <c r="K106" s="105">
        <f>COUNTIF(D62:AE72,"CEX")</f>
        <v>0</v>
      </c>
      <c r="L106" s="105">
        <f>COUNTIF(D62:AE72,"RES")</f>
        <v>0</v>
      </c>
      <c r="M106" s="105">
        <f>COUNTIF(D62:AE72,"MA")</f>
        <v>0</v>
      </c>
      <c r="N106" s="105">
        <f>COUNTIF(D62:AE72,"AT")</f>
        <v>0</v>
      </c>
      <c r="O106" s="106">
        <f>COUNTIF(D62:AE72,"TP")</f>
        <v>0</v>
      </c>
      <c r="W106" s="104">
        <f>COUNTIF(D76:AE80,"p")</f>
        <v>0</v>
      </c>
      <c r="X106" s="105">
        <f>COUNTIF(D76:AE80,"AH")</f>
        <v>0</v>
      </c>
      <c r="Y106" s="105">
        <f>COUNTIF(D76:AE80,"PC")</f>
        <v>0</v>
      </c>
      <c r="Z106" s="105">
        <f>COUNTIF(D76:AE80,"f")</f>
        <v>0</v>
      </c>
      <c r="AA106" s="105">
        <f>COUNTIF(D76:AE80,"ast")</f>
        <v>0</v>
      </c>
      <c r="AB106" s="105">
        <f>COUNTIF(D76:AE80,"ca")</f>
        <v>0</v>
      </c>
      <c r="AC106" s="105">
        <f>COUNTIF(D76:AE80,"rtt")</f>
        <v>0</v>
      </c>
      <c r="AD106" s="105">
        <f>COUNTIF(D76:AE80,"CEX")</f>
        <v>0</v>
      </c>
      <c r="AE106" s="105">
        <f>COUNTIF(D76:AE80,"RES")</f>
        <v>0</v>
      </c>
    </row>
  </sheetData>
  <mergeCells count="14">
    <mergeCell ref="AJ5:AJ9"/>
    <mergeCell ref="D5:AE7"/>
    <mergeCell ref="AF5:AF9"/>
    <mergeCell ref="AG5:AG9"/>
    <mergeCell ref="AH5:AH9"/>
    <mergeCell ref="AI5:AI9"/>
    <mergeCell ref="AQ5:AQ9"/>
    <mergeCell ref="AR5:AR9"/>
    <mergeCell ref="AK5:AK9"/>
    <mergeCell ref="AL5:AL9"/>
    <mergeCell ref="AM5:AM9"/>
    <mergeCell ref="AN5:AN9"/>
    <mergeCell ref="AO5:AO9"/>
    <mergeCell ref="AP5:AP9"/>
  </mergeCells>
  <conditionalFormatting sqref="D12:AE12 D14:AE14 D17:AE17 D19:AE19 D21:AE21 D23:AE24 D26:AE29 D31:AE31 D33:AE34 D36:AE48 D62:AE72 D76:AE77 D79:AE80 D50:AE59">
    <cfRule type="containsText" dxfId="221" priority="3" operator="containsText" text="AH">
      <formula>NOT(ISERROR(SEARCH("AH",D12)))</formula>
    </cfRule>
    <cfRule type="containsText" dxfId="220" priority="4" operator="containsText" text="TP">
      <formula>NOT(ISERROR(SEARCH("TP",D12)))</formula>
    </cfRule>
    <cfRule type="containsText" dxfId="219" priority="5" operator="containsText" text="TAD">
      <formula>NOT(ISERROR(SEARCH("TAD",D12)))</formula>
    </cfRule>
    <cfRule type="containsText" dxfId="218" priority="6" operator="containsText" text="AT">
      <formula>NOT(ISERROR(SEARCH("AT",D12)))</formula>
    </cfRule>
    <cfRule type="containsText" dxfId="217" priority="7" operator="containsText" text="MA">
      <formula>NOT(ISERROR(SEARCH("MA",D12)))</formula>
    </cfRule>
    <cfRule type="containsText" dxfId="216" priority="8" operator="containsText" text="RES">
      <formula>NOT(ISERROR(SEARCH("RES",D12)))</formula>
    </cfRule>
    <cfRule type="containsText" dxfId="215" priority="9" operator="containsText" text="CEX">
      <formula>NOT(ISERROR(SEARCH("CEX",D12)))</formula>
    </cfRule>
    <cfRule type="containsText" dxfId="214" priority="10" operator="containsText" text="RTT">
      <formula>NOT(ISERROR(SEARCH("RTT",D12)))</formula>
    </cfRule>
    <cfRule type="beginsWith" dxfId="213" priority="11" operator="beginsWith" text="CA">
      <formula>LEFT(D12,LEN("CA"))="CA"</formula>
    </cfRule>
    <cfRule type="containsText" dxfId="212" priority="12" operator="containsText" text="AST">
      <formula>NOT(ISERROR(SEARCH("AST",D12)))</formula>
    </cfRule>
    <cfRule type="containsText" dxfId="211" priority="13" operator="containsText" text="F">
      <formula>NOT(ISERROR(SEARCH("F",D12)))</formula>
    </cfRule>
    <cfRule type="containsText" dxfId="210" priority="14" operator="containsText" text="PC">
      <formula>NOT(ISERROR(SEARCH("PC",D12)))</formula>
    </cfRule>
    <cfRule type="containsText" dxfId="209" priority="15" operator="containsText" text="P">
      <formula>NOT(ISERROR(SEARCH("P",D12)))</formula>
    </cfRule>
  </conditionalFormatting>
  <conditionalFormatting sqref="D9:AE10 D12:AE12 D14:AE14 D17:AE17 D19:AE19 D21:AE21 D23:AE24 D26:AE29 D31:AE31 D33:AE34 D36:AE37 D40:AE40 D42:AE42 D44:AE45 D47:AE48 D62:AE74 D76:AE77 D79:AE80 D50:AE60">
    <cfRule type="expression" dxfId="208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07" priority="2">
      <formula>OR(D$9=1,D$9=7)</formula>
    </cfRule>
  </conditionalFormatting>
  <dataValidations count="1">
    <dataValidation type="list" showInputMessage="1" showErrorMessage="1" sqref="D12:AE12 D79:AE80 D76:AE77 D62:AE72 D14:AE14 D36:AE48 D33:AE34 D31:AE31 D26:AE29 D23:AE24 D21:AE21 D17:AE19 D50:AE59" xr:uid="{F9D35896-9FA2-44CD-AC6F-9F160D08AC13}">
      <formula1>$AF$10:$AR$10</formula1>
    </dataValidation>
  </dataValidations>
  <pageMargins left="0.7" right="0.7" top="0.75" bottom="0.75" header="0.3" footer="0.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41BC8-D1B7-459B-AB4A-056EE100BAFF}">
  <sheetPr codeName="Feuil20">
    <outlinePr summaryRight="0"/>
  </sheetPr>
  <dimension ref="A1:AU106"/>
  <sheetViews>
    <sheetView zoomScaleNormal="100" workbookViewId="0">
      <pane ySplit="10" topLeftCell="A59" activePane="bottomLeft" state="frozen"/>
      <selection activeCell="B1" sqref="B1"/>
      <selection pane="bottomLeft" activeCell="L70" sqref="L70:P70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Menu!D24</f>
        <v>46082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Menu!E24</f>
        <v>46112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46082</v>
      </c>
      <c r="E4" s="55">
        <f t="shared" ref="E4:AH4" si="0">D4+1</f>
        <v>46083</v>
      </c>
      <c r="F4" s="55">
        <f t="shared" si="0"/>
        <v>46084</v>
      </c>
      <c r="G4" s="55">
        <f t="shared" si="0"/>
        <v>46085</v>
      </c>
      <c r="H4" s="55">
        <f t="shared" si="0"/>
        <v>46086</v>
      </c>
      <c r="I4" s="55">
        <f t="shared" si="0"/>
        <v>46087</v>
      </c>
      <c r="J4" s="55">
        <f t="shared" si="0"/>
        <v>46088</v>
      </c>
      <c r="K4" s="55">
        <f t="shared" si="0"/>
        <v>46089</v>
      </c>
      <c r="L4" s="55">
        <f t="shared" si="0"/>
        <v>46090</v>
      </c>
      <c r="M4" s="55">
        <f t="shared" si="0"/>
        <v>46091</v>
      </c>
      <c r="N4" s="55">
        <f t="shared" si="0"/>
        <v>46092</v>
      </c>
      <c r="O4" s="55">
        <f t="shared" si="0"/>
        <v>46093</v>
      </c>
      <c r="P4" s="55">
        <f t="shared" si="0"/>
        <v>46094</v>
      </c>
      <c r="Q4" s="55">
        <f t="shared" si="0"/>
        <v>46095</v>
      </c>
      <c r="R4" s="55">
        <f t="shared" si="0"/>
        <v>46096</v>
      </c>
      <c r="S4" s="55">
        <f t="shared" si="0"/>
        <v>46097</v>
      </c>
      <c r="T4" s="55">
        <f t="shared" si="0"/>
        <v>46098</v>
      </c>
      <c r="U4" s="55">
        <f t="shared" si="0"/>
        <v>46099</v>
      </c>
      <c r="V4" s="55">
        <f t="shared" si="0"/>
        <v>46100</v>
      </c>
      <c r="W4" s="55">
        <f t="shared" si="0"/>
        <v>46101</v>
      </c>
      <c r="X4" s="55">
        <f t="shared" si="0"/>
        <v>46102</v>
      </c>
      <c r="Y4" s="55">
        <f t="shared" si="0"/>
        <v>46103</v>
      </c>
      <c r="Z4" s="55">
        <f t="shared" si="0"/>
        <v>46104</v>
      </c>
      <c r="AA4" s="55">
        <f t="shared" si="0"/>
        <v>46105</v>
      </c>
      <c r="AB4" s="55">
        <f t="shared" si="0"/>
        <v>46106</v>
      </c>
      <c r="AC4" s="55">
        <f t="shared" si="0"/>
        <v>46107</v>
      </c>
      <c r="AD4" s="55">
        <f t="shared" si="0"/>
        <v>46108</v>
      </c>
      <c r="AE4" s="55">
        <f t="shared" si="0"/>
        <v>46109</v>
      </c>
      <c r="AF4" s="55">
        <f t="shared" si="0"/>
        <v>46110</v>
      </c>
      <c r="AG4" s="55">
        <f t="shared" si="0"/>
        <v>46111</v>
      </c>
      <c r="AH4" s="55">
        <f t="shared" si="0"/>
        <v>46112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mars-2026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1</v>
      </c>
      <c r="E9" s="74">
        <f t="shared" si="1"/>
        <v>2</v>
      </c>
      <c r="F9" s="74">
        <f t="shared" si="1"/>
        <v>3</v>
      </c>
      <c r="G9" s="74">
        <f t="shared" si="1"/>
        <v>4</v>
      </c>
      <c r="H9" s="74">
        <f t="shared" si="1"/>
        <v>5</v>
      </c>
      <c r="I9" s="74">
        <f t="shared" si="1"/>
        <v>6</v>
      </c>
      <c r="J9" s="74">
        <f t="shared" si="1"/>
        <v>7</v>
      </c>
      <c r="K9" s="74">
        <f t="shared" si="1"/>
        <v>1</v>
      </c>
      <c r="L9" s="74">
        <f t="shared" si="1"/>
        <v>2</v>
      </c>
      <c r="M9" s="74">
        <f t="shared" si="1"/>
        <v>3</v>
      </c>
      <c r="N9" s="74">
        <f t="shared" si="1"/>
        <v>4</v>
      </c>
      <c r="O9" s="74">
        <f t="shared" si="1"/>
        <v>5</v>
      </c>
      <c r="P9" s="74">
        <f t="shared" si="1"/>
        <v>6</v>
      </c>
      <c r="Q9" s="74">
        <f t="shared" si="1"/>
        <v>7</v>
      </c>
      <c r="R9" s="74">
        <f t="shared" si="1"/>
        <v>1</v>
      </c>
      <c r="S9" s="74">
        <f t="shared" si="1"/>
        <v>2</v>
      </c>
      <c r="T9" s="74">
        <f t="shared" si="1"/>
        <v>3</v>
      </c>
      <c r="U9" s="74">
        <f t="shared" si="1"/>
        <v>4</v>
      </c>
      <c r="V9" s="74">
        <f t="shared" si="1"/>
        <v>5</v>
      </c>
      <c r="W9" s="74">
        <f t="shared" si="1"/>
        <v>6</v>
      </c>
      <c r="X9" s="74">
        <f t="shared" si="1"/>
        <v>7</v>
      </c>
      <c r="Y9" s="74">
        <f t="shared" si="1"/>
        <v>1</v>
      </c>
      <c r="Z9" s="74">
        <f t="shared" si="1"/>
        <v>2</v>
      </c>
      <c r="AA9" s="74">
        <f t="shared" si="1"/>
        <v>3</v>
      </c>
      <c r="AB9" s="74">
        <f t="shared" si="1"/>
        <v>4</v>
      </c>
      <c r="AC9" s="74">
        <f t="shared" si="1"/>
        <v>5</v>
      </c>
      <c r="AD9" s="74">
        <f t="shared" si="1"/>
        <v>6</v>
      </c>
      <c r="AE9" s="74">
        <f t="shared" si="1"/>
        <v>7</v>
      </c>
      <c r="AF9" s="74">
        <f t="shared" si="1"/>
        <v>1</v>
      </c>
      <c r="AG9" s="74">
        <f t="shared" si="1"/>
        <v>2</v>
      </c>
      <c r="AH9" s="179">
        <f t="shared" si="1"/>
        <v>3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 t="s">
        <v>233</v>
      </c>
      <c r="M14" s="78" t="s">
        <v>233</v>
      </c>
      <c r="N14" s="78" t="s">
        <v>233</v>
      </c>
      <c r="O14" s="78" t="s">
        <v>233</v>
      </c>
      <c r="P14" s="78" t="s">
        <v>233</v>
      </c>
      <c r="Q14" s="78"/>
      <c r="R14" s="78"/>
      <c r="S14" s="78" t="s">
        <v>233</v>
      </c>
      <c r="T14" s="78" t="s">
        <v>233</v>
      </c>
      <c r="U14" s="78" t="s">
        <v>233</v>
      </c>
      <c r="V14" s="78" t="s">
        <v>233</v>
      </c>
      <c r="W14" s="78" t="s">
        <v>233</v>
      </c>
      <c r="X14" s="78"/>
      <c r="Y14" s="78"/>
      <c r="Z14" s="78" t="s">
        <v>233</v>
      </c>
      <c r="AA14" s="78" t="s">
        <v>233</v>
      </c>
      <c r="AB14" s="78" t="s">
        <v>233</v>
      </c>
      <c r="AC14" s="78" t="s">
        <v>233</v>
      </c>
      <c r="AD14" s="78" t="s">
        <v>233</v>
      </c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15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 t="s">
        <v>234</v>
      </c>
      <c r="O19" s="78" t="s">
        <v>234</v>
      </c>
      <c r="P19" s="78" t="s">
        <v>234</v>
      </c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0</v>
      </c>
      <c r="AL19" s="185">
        <f>COUNTIF(D19:AG19,"f")</f>
        <v>3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 t="s">
        <v>235</v>
      </c>
      <c r="E21" s="78" t="s">
        <v>235</v>
      </c>
      <c r="F21" s="78" t="s">
        <v>235</v>
      </c>
      <c r="G21" s="78" t="s">
        <v>235</v>
      </c>
      <c r="H21" s="78" t="s">
        <v>235</v>
      </c>
      <c r="I21" s="78" t="s">
        <v>235</v>
      </c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6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 t="s">
        <v>242</v>
      </c>
      <c r="F26" s="80" t="s">
        <v>242</v>
      </c>
      <c r="G26" s="80" t="s">
        <v>242</v>
      </c>
      <c r="H26" s="80" t="s">
        <v>242</v>
      </c>
      <c r="I26" s="80" t="s">
        <v>242</v>
      </c>
      <c r="J26" s="80"/>
      <c r="K26" s="80"/>
      <c r="L26" s="80" t="s">
        <v>242</v>
      </c>
      <c r="M26" s="80" t="s">
        <v>242</v>
      </c>
      <c r="N26" s="80" t="s">
        <v>242</v>
      </c>
      <c r="O26" s="80" t="s">
        <v>242</v>
      </c>
      <c r="P26" s="80" t="s">
        <v>242</v>
      </c>
      <c r="Q26" s="80"/>
      <c r="R26" s="80"/>
      <c r="S26" s="80" t="s">
        <v>242</v>
      </c>
      <c r="T26" s="80" t="s">
        <v>242</v>
      </c>
      <c r="U26" s="80" t="s">
        <v>242</v>
      </c>
      <c r="V26" s="80" t="s">
        <v>242</v>
      </c>
      <c r="W26" s="80" t="s">
        <v>242</v>
      </c>
      <c r="X26" s="80"/>
      <c r="Y26" s="80"/>
      <c r="Z26" s="80" t="s">
        <v>242</v>
      </c>
      <c r="AA26" s="80" t="s">
        <v>242</v>
      </c>
      <c r="AB26" s="80" t="s">
        <v>242</v>
      </c>
      <c r="AC26" s="80" t="s">
        <v>242</v>
      </c>
      <c r="AD26" s="80" t="s">
        <v>242</v>
      </c>
      <c r="AE26" s="80"/>
      <c r="AF26" s="80"/>
      <c r="AG26" s="80" t="s">
        <v>242</v>
      </c>
      <c r="AH26" s="80" t="s">
        <v>242</v>
      </c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21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 t="s">
        <v>240</v>
      </c>
      <c r="F56" s="75" t="s">
        <v>240</v>
      </c>
      <c r="G56" s="75" t="s">
        <v>240</v>
      </c>
      <c r="H56" s="75" t="s">
        <v>240</v>
      </c>
      <c r="I56" s="75" t="s">
        <v>240</v>
      </c>
      <c r="J56" s="75"/>
      <c r="K56" s="75"/>
      <c r="L56" s="75" t="s">
        <v>240</v>
      </c>
      <c r="M56" s="75" t="s">
        <v>240</v>
      </c>
      <c r="N56" s="75" t="s">
        <v>240</v>
      </c>
      <c r="O56" s="75" t="s">
        <v>240</v>
      </c>
      <c r="P56" s="75" t="s">
        <v>240</v>
      </c>
      <c r="Q56" s="75"/>
      <c r="R56" s="75"/>
      <c r="S56" s="75" t="s">
        <v>240</v>
      </c>
      <c r="T56" s="75" t="s">
        <v>240</v>
      </c>
      <c r="U56" s="75" t="s">
        <v>240</v>
      </c>
      <c r="V56" s="75" t="s">
        <v>240</v>
      </c>
      <c r="W56" s="75" t="s">
        <v>240</v>
      </c>
      <c r="X56" s="75"/>
      <c r="Y56" s="75"/>
      <c r="Z56" s="75" t="s">
        <v>240</v>
      </c>
      <c r="AA56" s="75" t="s">
        <v>240</v>
      </c>
      <c r="AB56" s="75" t="s">
        <v>240</v>
      </c>
      <c r="AC56" s="75" t="s">
        <v>240</v>
      </c>
      <c r="AD56" s="75" t="s">
        <v>240</v>
      </c>
      <c r="AE56" s="75"/>
      <c r="AF56" s="75"/>
      <c r="AG56" s="75" t="s">
        <v>240</v>
      </c>
      <c r="AH56" s="75" t="s">
        <v>240</v>
      </c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21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0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 t="s">
        <v>234</v>
      </c>
      <c r="M70" s="75" t="s">
        <v>234</v>
      </c>
      <c r="N70" s="75" t="s">
        <v>234</v>
      </c>
      <c r="O70" s="75" t="s">
        <v>234</v>
      </c>
      <c r="P70" s="75" t="s">
        <v>234</v>
      </c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5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15</v>
      </c>
      <c r="G84" s="102">
        <f>COUNTIF(D11:AH36,"f")</f>
        <v>3</v>
      </c>
      <c r="H84" s="102">
        <f>COUNTIF(D11:AH36,"ast")</f>
        <v>6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22</v>
      </c>
      <c r="W84" s="104">
        <f>COUNTIF(D50:AH59,"p")</f>
        <v>0</v>
      </c>
      <c r="X84" s="105">
        <f>COUNTIF(D50:AH59,"AH")</f>
        <v>0</v>
      </c>
      <c r="Y84" s="105">
        <f>COUNTIF(D50:AH59,"PC")</f>
        <v>0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22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5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1:AH21 D23:AH24 D26:AH29 D31:AH31 D33:AH34 D36:AH48 D50:AH59 D62:AH72 D76:AH77 D79:AH80">
    <cfRule type="containsText" dxfId="206" priority="3" operator="containsText" text="AH">
      <formula>NOT(ISERROR(SEARCH("AH",D12)))</formula>
    </cfRule>
    <cfRule type="containsText" dxfId="205" priority="4" operator="containsText" text="TP">
      <formula>NOT(ISERROR(SEARCH("TP",D12)))</formula>
    </cfRule>
    <cfRule type="containsText" dxfId="204" priority="5" operator="containsText" text="TAD">
      <formula>NOT(ISERROR(SEARCH("TAD",D12)))</formula>
    </cfRule>
    <cfRule type="containsText" dxfId="203" priority="6" operator="containsText" text="AT">
      <formula>NOT(ISERROR(SEARCH("AT",D12)))</formula>
    </cfRule>
    <cfRule type="containsText" dxfId="202" priority="7" operator="containsText" text="MA">
      <formula>NOT(ISERROR(SEARCH("MA",D12)))</formula>
    </cfRule>
    <cfRule type="containsText" dxfId="201" priority="8" operator="containsText" text="RES">
      <formula>NOT(ISERROR(SEARCH("RES",D12)))</formula>
    </cfRule>
    <cfRule type="containsText" dxfId="200" priority="9" operator="containsText" text="CEX">
      <formula>NOT(ISERROR(SEARCH("CEX",D12)))</formula>
    </cfRule>
    <cfRule type="containsText" dxfId="199" priority="10" operator="containsText" text="RTT">
      <formula>NOT(ISERROR(SEARCH("RTT",D12)))</formula>
    </cfRule>
    <cfRule type="beginsWith" dxfId="198" priority="11" operator="beginsWith" text="CA">
      <formula>LEFT(D12,LEN("CA"))="CA"</formula>
    </cfRule>
    <cfRule type="containsText" dxfId="197" priority="12" operator="containsText" text="AST">
      <formula>NOT(ISERROR(SEARCH("AST",D12)))</formula>
    </cfRule>
    <cfRule type="containsText" dxfId="196" priority="13" operator="containsText" text="F">
      <formula>NOT(ISERROR(SEARCH("F",D12)))</formula>
    </cfRule>
    <cfRule type="containsText" dxfId="195" priority="14" operator="containsText" text="PC">
      <formula>NOT(ISERROR(SEARCH("PC",D12)))</formula>
    </cfRule>
    <cfRule type="containsText" dxfId="194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19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92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636DC35C-92D2-4F0D-B6C9-E8D61BFDCDFA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8CE1D-F23B-4980-9410-158F1C026B84}">
  <sheetPr codeName="Feuil21">
    <outlinePr summaryRight="0"/>
  </sheetPr>
  <dimension ref="A1:AT106"/>
  <sheetViews>
    <sheetView zoomScaleNormal="100" workbookViewId="0">
      <pane ySplit="10" topLeftCell="A69" activePane="bottomLeft" state="frozen"/>
      <selection activeCell="B1" sqref="B1"/>
      <selection pane="bottomLeft" activeCell="AD70" sqref="AD70:AG70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3" width="4.7109375" style="3" customWidth="1"/>
    <col min="34" max="46" width="3.7109375" style="180" customWidth="1"/>
    <col min="47" max="47" width="17.42578125" style="3" customWidth="1"/>
    <col min="48" max="16384" width="17.42578125" style="3"/>
  </cols>
  <sheetData>
    <row r="1" spans="1:46" ht="15" customHeight="1" x14ac:dyDescent="0.2">
      <c r="A1" s="49">
        <f>Menu!D25</f>
        <v>46113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</row>
    <row r="2" spans="1:46" x14ac:dyDescent="0.2">
      <c r="A2" s="49">
        <f>Menu!E25</f>
        <v>46142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</row>
    <row r="3" spans="1:46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</row>
    <row r="4" spans="1:46" ht="12.75" hidden="1" customHeight="1" x14ac:dyDescent="0.2">
      <c r="A4" s="49"/>
      <c r="C4" s="51"/>
      <c r="D4" s="55">
        <f>A1</f>
        <v>46113</v>
      </c>
      <c r="E4" s="55">
        <f t="shared" ref="E4:AG4" si="0">D4+1</f>
        <v>46114</v>
      </c>
      <c r="F4" s="55">
        <f t="shared" si="0"/>
        <v>46115</v>
      </c>
      <c r="G4" s="55">
        <f t="shared" si="0"/>
        <v>46116</v>
      </c>
      <c r="H4" s="55">
        <f t="shared" si="0"/>
        <v>46117</v>
      </c>
      <c r="I4" s="55">
        <f t="shared" si="0"/>
        <v>46118</v>
      </c>
      <c r="J4" s="55">
        <f t="shared" si="0"/>
        <v>46119</v>
      </c>
      <c r="K4" s="55">
        <f t="shared" si="0"/>
        <v>46120</v>
      </c>
      <c r="L4" s="55">
        <f t="shared" si="0"/>
        <v>46121</v>
      </c>
      <c r="M4" s="55">
        <f t="shared" si="0"/>
        <v>46122</v>
      </c>
      <c r="N4" s="55">
        <f t="shared" si="0"/>
        <v>46123</v>
      </c>
      <c r="O4" s="55">
        <f t="shared" si="0"/>
        <v>46124</v>
      </c>
      <c r="P4" s="55">
        <f t="shared" si="0"/>
        <v>46125</v>
      </c>
      <c r="Q4" s="55">
        <f t="shared" si="0"/>
        <v>46126</v>
      </c>
      <c r="R4" s="55">
        <f t="shared" si="0"/>
        <v>46127</v>
      </c>
      <c r="S4" s="55">
        <f t="shared" si="0"/>
        <v>46128</v>
      </c>
      <c r="T4" s="55">
        <f t="shared" si="0"/>
        <v>46129</v>
      </c>
      <c r="U4" s="55">
        <f t="shared" si="0"/>
        <v>46130</v>
      </c>
      <c r="V4" s="55">
        <f t="shared" si="0"/>
        <v>46131</v>
      </c>
      <c r="W4" s="55">
        <f t="shared" si="0"/>
        <v>46132</v>
      </c>
      <c r="X4" s="55">
        <f t="shared" si="0"/>
        <v>46133</v>
      </c>
      <c r="Y4" s="55">
        <f t="shared" si="0"/>
        <v>46134</v>
      </c>
      <c r="Z4" s="55">
        <f t="shared" si="0"/>
        <v>46135</v>
      </c>
      <c r="AA4" s="55">
        <f t="shared" si="0"/>
        <v>46136</v>
      </c>
      <c r="AB4" s="55">
        <f t="shared" si="0"/>
        <v>46137</v>
      </c>
      <c r="AC4" s="55">
        <f t="shared" si="0"/>
        <v>46138</v>
      </c>
      <c r="AD4" s="55">
        <f t="shared" si="0"/>
        <v>46139</v>
      </c>
      <c r="AE4" s="55">
        <f t="shared" si="0"/>
        <v>46140</v>
      </c>
      <c r="AF4" s="55">
        <f t="shared" si="0"/>
        <v>46141</v>
      </c>
      <c r="AG4" s="55">
        <f t="shared" si="0"/>
        <v>46142</v>
      </c>
    </row>
    <row r="5" spans="1:46" s="81" customFormat="1" ht="20.100000000000001" customHeight="1" x14ac:dyDescent="0.2">
      <c r="A5" s="178"/>
      <c r="B5" s="178"/>
      <c r="C5" s="178"/>
      <c r="D5" s="358" t="str">
        <f>TEXT(A1,"mmmm-aaaa")</f>
        <v>avril-2026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63" t="s">
        <v>218</v>
      </c>
      <c r="AI5" s="363" t="s">
        <v>219</v>
      </c>
      <c r="AJ5" s="362" t="s">
        <v>220</v>
      </c>
      <c r="AK5" s="364" t="s">
        <v>221</v>
      </c>
      <c r="AL5" s="365" t="s">
        <v>222</v>
      </c>
      <c r="AM5" s="370" t="s">
        <v>223</v>
      </c>
      <c r="AN5" s="367" t="s">
        <v>224</v>
      </c>
      <c r="AO5" s="366" t="s">
        <v>225</v>
      </c>
      <c r="AP5" s="360" t="s">
        <v>226</v>
      </c>
      <c r="AQ5" s="355" t="s">
        <v>227</v>
      </c>
      <c r="AR5" s="368" t="s">
        <v>228</v>
      </c>
      <c r="AS5" s="369" t="s">
        <v>229</v>
      </c>
      <c r="AT5" s="361" t="s">
        <v>230</v>
      </c>
    </row>
    <row r="6" spans="1:46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6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</row>
    <row r="7" spans="1:46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6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</row>
    <row r="8" spans="1:46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356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</row>
    <row r="9" spans="1:46" ht="15" customHeight="1" x14ac:dyDescent="0.2">
      <c r="A9" s="61"/>
      <c r="B9" s="62"/>
      <c r="C9" s="61"/>
      <c r="D9" s="74">
        <f t="shared" ref="D9:AG9" si="1">IFERROR(WEEKDAY(D4),"")</f>
        <v>4</v>
      </c>
      <c r="E9" s="74">
        <f t="shared" si="1"/>
        <v>5</v>
      </c>
      <c r="F9" s="74">
        <f t="shared" si="1"/>
        <v>6</v>
      </c>
      <c r="G9" s="74">
        <f t="shared" si="1"/>
        <v>7</v>
      </c>
      <c r="H9" s="74">
        <f t="shared" si="1"/>
        <v>1</v>
      </c>
      <c r="I9" s="74">
        <f t="shared" si="1"/>
        <v>2</v>
      </c>
      <c r="J9" s="74">
        <f t="shared" si="1"/>
        <v>3</v>
      </c>
      <c r="K9" s="74">
        <f t="shared" si="1"/>
        <v>4</v>
      </c>
      <c r="L9" s="74">
        <f t="shared" si="1"/>
        <v>5</v>
      </c>
      <c r="M9" s="74">
        <f t="shared" si="1"/>
        <v>6</v>
      </c>
      <c r="N9" s="74">
        <f t="shared" si="1"/>
        <v>7</v>
      </c>
      <c r="O9" s="74">
        <f t="shared" si="1"/>
        <v>1</v>
      </c>
      <c r="P9" s="74">
        <f t="shared" si="1"/>
        <v>2</v>
      </c>
      <c r="Q9" s="74">
        <f t="shared" si="1"/>
        <v>3</v>
      </c>
      <c r="R9" s="74">
        <f t="shared" si="1"/>
        <v>4</v>
      </c>
      <c r="S9" s="74">
        <f t="shared" si="1"/>
        <v>5</v>
      </c>
      <c r="T9" s="74">
        <f t="shared" si="1"/>
        <v>6</v>
      </c>
      <c r="U9" s="74">
        <f t="shared" si="1"/>
        <v>7</v>
      </c>
      <c r="V9" s="74">
        <f t="shared" si="1"/>
        <v>1</v>
      </c>
      <c r="W9" s="74">
        <f t="shared" si="1"/>
        <v>2</v>
      </c>
      <c r="X9" s="74">
        <f t="shared" si="1"/>
        <v>3</v>
      </c>
      <c r="Y9" s="74">
        <f t="shared" si="1"/>
        <v>4</v>
      </c>
      <c r="Z9" s="74">
        <f t="shared" si="1"/>
        <v>5</v>
      </c>
      <c r="AA9" s="74">
        <f t="shared" si="1"/>
        <v>6</v>
      </c>
      <c r="AB9" s="74">
        <f t="shared" si="1"/>
        <v>7</v>
      </c>
      <c r="AC9" s="74">
        <f t="shared" si="1"/>
        <v>1</v>
      </c>
      <c r="AD9" s="74">
        <f t="shared" si="1"/>
        <v>2</v>
      </c>
      <c r="AE9" s="74">
        <f t="shared" si="1"/>
        <v>3</v>
      </c>
      <c r="AF9" s="74">
        <f t="shared" si="1"/>
        <v>4</v>
      </c>
      <c r="AG9" s="74">
        <f t="shared" si="1"/>
        <v>5</v>
      </c>
      <c r="AH9" s="357"/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</row>
    <row r="10" spans="1:46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G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107" t="s">
        <v>231</v>
      </c>
      <c r="AI10" s="107" t="s">
        <v>232</v>
      </c>
      <c r="AJ10" s="108" t="s">
        <v>233</v>
      </c>
      <c r="AK10" s="109" t="s">
        <v>234</v>
      </c>
      <c r="AL10" s="110" t="s">
        <v>235</v>
      </c>
      <c r="AM10" s="111" t="s">
        <v>236</v>
      </c>
      <c r="AN10" s="112" t="s">
        <v>224</v>
      </c>
      <c r="AO10" s="113" t="s">
        <v>237</v>
      </c>
      <c r="AP10" s="114" t="s">
        <v>238</v>
      </c>
      <c r="AQ10" s="115" t="s">
        <v>239</v>
      </c>
      <c r="AR10" s="116" t="s">
        <v>240</v>
      </c>
      <c r="AS10" s="117" t="s">
        <v>241</v>
      </c>
      <c r="AT10" s="118" t="s">
        <v>242</v>
      </c>
    </row>
    <row r="11" spans="1:46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2"/>
    </row>
    <row r="12" spans="1:46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183">
        <f>COUNTIF(D12:AG12,"p")</f>
        <v>0</v>
      </c>
      <c r="AI12" s="183">
        <f>COUNTIF(D12:AG12,"AH")</f>
        <v>0</v>
      </c>
      <c r="AJ12" s="184">
        <f>COUNTIF(D12:AG12,"PC")</f>
        <v>0</v>
      </c>
      <c r="AK12" s="185">
        <f>COUNTIF(D12:AG12,"f")</f>
        <v>0</v>
      </c>
      <c r="AL12" s="186">
        <f>COUNTIF(D12:AG12,"ast")</f>
        <v>0</v>
      </c>
      <c r="AM12" s="187">
        <f>COUNTIF(D12:AG12,"cA")</f>
        <v>0</v>
      </c>
      <c r="AN12" s="188">
        <f>COUNTIF(D12:AG12,"rtt")</f>
        <v>0</v>
      </c>
      <c r="AO12" s="189">
        <f>COUNTIF(D12:AG12,"cex")</f>
        <v>0</v>
      </c>
      <c r="AP12" s="190">
        <f>COUNTIF(D12:AG12,"res")</f>
        <v>0</v>
      </c>
      <c r="AQ12" s="191">
        <f>COUNTIF(D12:AG12,"mA")</f>
        <v>0</v>
      </c>
      <c r="AR12" s="192">
        <f>COUNTIF(D12:AG12,"at")</f>
        <v>0</v>
      </c>
      <c r="AS12" s="193">
        <f>COUNTIF(D12:AG12,"TAD")</f>
        <v>0</v>
      </c>
      <c r="AT12" s="194">
        <f>COUNTIF(D12:AG12,"TP")</f>
        <v>0</v>
      </c>
    </row>
    <row r="13" spans="1:46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6"/>
    </row>
    <row r="14" spans="1:46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183">
        <f>COUNTIF(D14:AG14,"p")</f>
        <v>0</v>
      </c>
      <c r="AI14" s="183">
        <f>COUNTIF(D14:AG14,"AH")</f>
        <v>0</v>
      </c>
      <c r="AJ14" s="184">
        <f>COUNTIF(D14:AG14,"PC")</f>
        <v>0</v>
      </c>
      <c r="AK14" s="185">
        <f>COUNTIF(D14:AG14,"f")</f>
        <v>0</v>
      </c>
      <c r="AL14" s="186">
        <f>COUNTIF(D14:AG14,"ast")</f>
        <v>0</v>
      </c>
      <c r="AM14" s="187">
        <f>COUNTIF(D14:AG14,"cA")</f>
        <v>0</v>
      </c>
      <c r="AN14" s="188">
        <f>COUNTIF(D14:AG14,"rtt")</f>
        <v>0</v>
      </c>
      <c r="AO14" s="189">
        <f>COUNTIF(D14:AG14,"cex")</f>
        <v>0</v>
      </c>
      <c r="AP14" s="190">
        <f>COUNTIF(D14:AG14,"res")</f>
        <v>0</v>
      </c>
      <c r="AQ14" s="191">
        <f>COUNTIF(D14:AG14,"mA")</f>
        <v>0</v>
      </c>
      <c r="AR14" s="192">
        <f>COUNTIF(D14:AG14,"at")</f>
        <v>0</v>
      </c>
      <c r="AS14" s="193">
        <f>COUNTIF(D14:AG14,"TAD")</f>
        <v>0</v>
      </c>
      <c r="AT14" s="194">
        <f>COUNTIF(D14:AG14,"TP")</f>
        <v>0</v>
      </c>
    </row>
    <row r="15" spans="1:46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6"/>
    </row>
    <row r="16" spans="1:46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1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2"/>
    </row>
    <row r="17" spans="1:46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183">
        <f>COUNTIF(D17:AG17,"p")</f>
        <v>0</v>
      </c>
      <c r="AI17" s="183">
        <f>COUNTIF(D17:AG17,"AH")</f>
        <v>0</v>
      </c>
      <c r="AJ17" s="184">
        <f>COUNTIF(D17:AG17,"PC")</f>
        <v>0</v>
      </c>
      <c r="AK17" s="185">
        <f>COUNTIF(D17:AG17,"f")</f>
        <v>0</v>
      </c>
      <c r="AL17" s="186">
        <f>COUNTIF(D17:AG17,"ast")</f>
        <v>0</v>
      </c>
      <c r="AM17" s="187">
        <f>COUNTIF(D17:AG17,"cA")</f>
        <v>0</v>
      </c>
      <c r="AN17" s="188">
        <f>COUNTIF(D17:AG17,"rtt")</f>
        <v>0</v>
      </c>
      <c r="AO17" s="189">
        <f>COUNTIF(D17:AG17,"cex")</f>
        <v>0</v>
      </c>
      <c r="AP17" s="190">
        <f>COUNTIF(D17:AG17,"res")</f>
        <v>0</v>
      </c>
      <c r="AQ17" s="191">
        <f>COUNTIF(D17:AG17,"mA")</f>
        <v>0</v>
      </c>
      <c r="AR17" s="192">
        <f>COUNTIF(D17:AG17,"at")</f>
        <v>0</v>
      </c>
      <c r="AS17" s="193">
        <f>COUNTIF(D17:AG17,"TAD")</f>
        <v>0</v>
      </c>
      <c r="AT17" s="194">
        <f>COUNTIF(D17:AG17,"TP")</f>
        <v>0</v>
      </c>
    </row>
    <row r="18" spans="1:46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8"/>
    </row>
    <row r="19" spans="1:46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 t="s">
        <v>235</v>
      </c>
      <c r="G19" s="78"/>
      <c r="H19" s="78"/>
      <c r="I19" s="78"/>
      <c r="J19" s="78" t="s">
        <v>235</v>
      </c>
      <c r="K19" s="78" t="s">
        <v>235</v>
      </c>
      <c r="L19" s="78" t="s">
        <v>235</v>
      </c>
      <c r="M19" s="78" t="s">
        <v>235</v>
      </c>
      <c r="N19" s="78"/>
      <c r="O19" s="78"/>
      <c r="P19" s="78" t="s">
        <v>233</v>
      </c>
      <c r="Q19" s="78" t="s">
        <v>233</v>
      </c>
      <c r="R19" s="78" t="s">
        <v>233</v>
      </c>
      <c r="S19" s="78" t="s">
        <v>233</v>
      </c>
      <c r="T19" s="78" t="s">
        <v>233</v>
      </c>
      <c r="U19" s="78"/>
      <c r="V19" s="78"/>
      <c r="W19" s="78"/>
      <c r="X19" s="78"/>
      <c r="Y19" s="78" t="s">
        <v>233</v>
      </c>
      <c r="Z19" s="78"/>
      <c r="AA19" s="78"/>
      <c r="AB19" s="78"/>
      <c r="AC19" s="78"/>
      <c r="AD19" s="78"/>
      <c r="AE19" s="78"/>
      <c r="AF19" s="78"/>
      <c r="AG19" s="78"/>
      <c r="AH19" s="183">
        <f>COUNTIF(D19:AG19,"p")</f>
        <v>0</v>
      </c>
      <c r="AI19" s="183">
        <f>COUNTIF(D19:AG19,"AH")</f>
        <v>0</v>
      </c>
      <c r="AJ19" s="184">
        <f>COUNTIF(D19:AG19,"PC")</f>
        <v>6</v>
      </c>
      <c r="AK19" s="185">
        <f>COUNTIF(D19:AG19,"f")</f>
        <v>0</v>
      </c>
      <c r="AL19" s="186">
        <f>COUNTIF(D19:AG19,"ast")</f>
        <v>5</v>
      </c>
      <c r="AM19" s="187">
        <f>COUNTIF(D19:AG19,"cA")</f>
        <v>0</v>
      </c>
      <c r="AN19" s="188">
        <f>COUNTIF(D19:AG19,"rtt")</f>
        <v>0</v>
      </c>
      <c r="AO19" s="189">
        <f>COUNTIF(D19:AG19,"cex")</f>
        <v>0</v>
      </c>
      <c r="AP19" s="190">
        <f>COUNTIF(D19:AG19,"res")</f>
        <v>0</v>
      </c>
      <c r="AQ19" s="191">
        <f>COUNTIF(D19:AG19,"mA")</f>
        <v>0</v>
      </c>
      <c r="AR19" s="192">
        <f>COUNTIF(D19:AG19,"at")</f>
        <v>0</v>
      </c>
      <c r="AS19" s="193">
        <f>COUNTIF(D19:AG19,"TAD")</f>
        <v>0</v>
      </c>
      <c r="AT19" s="194">
        <f>COUNTIF(D19:AG19,"TP")</f>
        <v>0</v>
      </c>
    </row>
    <row r="20" spans="1:46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8"/>
    </row>
    <row r="21" spans="1:46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183">
        <f>COUNTIF(D21:AG21,"p")</f>
        <v>0</v>
      </c>
      <c r="AI21" s="183">
        <f>COUNTIF(D21:AG21,"AH")</f>
        <v>0</v>
      </c>
      <c r="AJ21" s="184">
        <f>COUNTIF(D21:AG21,"PC")</f>
        <v>0</v>
      </c>
      <c r="AK21" s="185">
        <f>COUNTIF(D21:AG21,"f")</f>
        <v>0</v>
      </c>
      <c r="AL21" s="186">
        <f>COUNTIF(D21:AG21,"ast")</f>
        <v>0</v>
      </c>
      <c r="AM21" s="187">
        <f>COUNTIF(D21:AG21,"cA")</f>
        <v>0</v>
      </c>
      <c r="AN21" s="188">
        <f>COUNTIF(D21:AG21,"rtt")</f>
        <v>0</v>
      </c>
      <c r="AO21" s="189">
        <f>COUNTIF(D21:AG21,"cex")</f>
        <v>0</v>
      </c>
      <c r="AP21" s="190">
        <f>COUNTIF(D21:AG21,"res")</f>
        <v>0</v>
      </c>
      <c r="AQ21" s="191">
        <f>COUNTIF(D21:AG21,"mA")</f>
        <v>0</v>
      </c>
      <c r="AR21" s="192">
        <f>COUNTIF(D21:AG21,"at")</f>
        <v>0</v>
      </c>
      <c r="AS21" s="193">
        <f>COUNTIF(D21:AG21,"TAD")</f>
        <v>0</v>
      </c>
      <c r="AT21" s="194">
        <f>COUNTIF(D21:AG21,"TP")</f>
        <v>0</v>
      </c>
    </row>
    <row r="22" spans="1:46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8"/>
    </row>
    <row r="23" spans="1:46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203">
        <f>COUNTIF(D23:AG23,"p")</f>
        <v>0</v>
      </c>
      <c r="AI23" s="203">
        <f>COUNTIF(D23:AG23,"AH")</f>
        <v>0</v>
      </c>
      <c r="AJ23" s="204">
        <f>COUNTIF(D23:AG23,"PC")</f>
        <v>0</v>
      </c>
      <c r="AK23" s="205">
        <f>COUNTIF(D23:AG23,"f")</f>
        <v>0</v>
      </c>
      <c r="AL23" s="206">
        <f>COUNTIF(D23:AG23,"ast")</f>
        <v>0</v>
      </c>
      <c r="AM23" s="207">
        <f>COUNTIF(D23:AG23,"cA")</f>
        <v>0</v>
      </c>
      <c r="AN23" s="208">
        <f>COUNTIF(D23:AG23,"rtt")</f>
        <v>0</v>
      </c>
      <c r="AO23" s="209">
        <f>COUNTIF(D23:AG23,"cex")</f>
        <v>0</v>
      </c>
      <c r="AP23" s="210">
        <f>COUNTIF(D23:AG23,"res")</f>
        <v>0</v>
      </c>
      <c r="AQ23" s="211">
        <f>COUNTIF(D23:AG23,"mA")</f>
        <v>0</v>
      </c>
      <c r="AR23" s="212">
        <f>COUNTIF(D23:AG23,"at")</f>
        <v>0</v>
      </c>
      <c r="AS23" s="213">
        <f>COUNTIF(D23:AG23,"TAD")</f>
        <v>0</v>
      </c>
      <c r="AT23" s="214">
        <f>COUNTIF(D23:AG23,"TP")</f>
        <v>0</v>
      </c>
    </row>
    <row r="24" spans="1:46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215">
        <f>COUNTIF(D24:AG24,"p")</f>
        <v>0</v>
      </c>
      <c r="AI24" s="215">
        <f>COUNTIF(D24:AG24,"AH")</f>
        <v>0</v>
      </c>
      <c r="AJ24" s="216">
        <f>COUNTIF(D24:AG24,"PC")</f>
        <v>0</v>
      </c>
      <c r="AK24" s="217">
        <f>COUNTIF(D24:AG24,"f")</f>
        <v>0</v>
      </c>
      <c r="AL24" s="218">
        <f>COUNTIF(D24:AG24,"ast")</f>
        <v>0</v>
      </c>
      <c r="AM24" s="219">
        <f>COUNTIF(D24:AG24,"cA")</f>
        <v>0</v>
      </c>
      <c r="AN24" s="220">
        <f>COUNTIF(D24:AG24,"rtt")</f>
        <v>0</v>
      </c>
      <c r="AO24" s="221">
        <f>COUNTIF(D24:AG24,"cex")</f>
        <v>0</v>
      </c>
      <c r="AP24" s="222">
        <f>COUNTIF(D24:AG24,"res")</f>
        <v>0</v>
      </c>
      <c r="AQ24" s="223">
        <f>COUNTIF(D24:AG24,"mA")</f>
        <v>0</v>
      </c>
      <c r="AR24" s="224">
        <f>COUNTIF(D24:AG24,"at")</f>
        <v>0</v>
      </c>
      <c r="AS24" s="225">
        <f>COUNTIF(D24:AG24,"TAD")</f>
        <v>0</v>
      </c>
      <c r="AT24" s="226">
        <f>COUNTIF(D24:AG24,"TP")</f>
        <v>0</v>
      </c>
    </row>
    <row r="25" spans="1:46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8"/>
    </row>
    <row r="26" spans="1:46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203">
        <f>COUNTIF(D26:AG26,"p")</f>
        <v>0</v>
      </c>
      <c r="AI26" s="203">
        <f>COUNTIF(D26:AG26,"AH")</f>
        <v>0</v>
      </c>
      <c r="AJ26" s="204">
        <f>COUNTIF(D26:AG26,"PC")</f>
        <v>0</v>
      </c>
      <c r="AK26" s="205">
        <f>COUNTIF(D26:AG26,"f")</f>
        <v>0</v>
      </c>
      <c r="AL26" s="206">
        <f>COUNTIF(D26:AG26,"ast")</f>
        <v>0</v>
      </c>
      <c r="AM26" s="207">
        <f>COUNTIF(D26:AG26,"cA")</f>
        <v>0</v>
      </c>
      <c r="AN26" s="208">
        <f>COUNTIF(D26:AG26,"rtt")</f>
        <v>0</v>
      </c>
      <c r="AO26" s="209">
        <f>COUNTIF(D26:AG26,"cex")</f>
        <v>0</v>
      </c>
      <c r="AP26" s="210">
        <f>COUNTIF(D26:AG26,"res")</f>
        <v>0</v>
      </c>
      <c r="AQ26" s="211">
        <f>COUNTIF(D26:AG26,"mA")</f>
        <v>0</v>
      </c>
      <c r="AR26" s="212">
        <f>COUNTIF(D26:AG26,"at")</f>
        <v>0</v>
      </c>
      <c r="AS26" s="213">
        <f>COUNTIF(D26:AG26,"TAD")</f>
        <v>0</v>
      </c>
      <c r="AT26" s="214">
        <f>COUNTIF(D26:AG26,"TP")</f>
        <v>0</v>
      </c>
    </row>
    <row r="27" spans="1:46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107">
        <f>COUNTIF(D27:AG27,"p")</f>
        <v>0</v>
      </c>
      <c r="AI27" s="107">
        <f>COUNTIF(D27:AG27,"AH")</f>
        <v>0</v>
      </c>
      <c r="AJ27" s="108">
        <f>COUNTIF(D27:AG27,"PC")</f>
        <v>0</v>
      </c>
      <c r="AK27" s="109">
        <f>COUNTIF(D27:AG27,"f")</f>
        <v>0</v>
      </c>
      <c r="AL27" s="110">
        <f>COUNTIF(D27:AG27,"ast")</f>
        <v>0</v>
      </c>
      <c r="AM27" s="111">
        <f>COUNTIF(D27:AG27,"cA")</f>
        <v>0</v>
      </c>
      <c r="AN27" s="112">
        <f>COUNTIF(D27:AG27,"rtt")</f>
        <v>0</v>
      </c>
      <c r="AO27" s="113">
        <f>COUNTIF(D27:AG27,"cex")</f>
        <v>0</v>
      </c>
      <c r="AP27" s="114">
        <f>COUNTIF(D27:AG27,"res")</f>
        <v>0</v>
      </c>
      <c r="AQ27" s="115">
        <f>COUNTIF(D27:AG27,"mA")</f>
        <v>0</v>
      </c>
      <c r="AR27" s="116">
        <f>COUNTIF(D27:AG27,"at")</f>
        <v>0</v>
      </c>
      <c r="AS27" s="117">
        <f>COUNTIF(D27:AG27,"TAD")</f>
        <v>0</v>
      </c>
      <c r="AT27" s="118">
        <f>COUNTIF(D27:AG27,"TP")</f>
        <v>0</v>
      </c>
    </row>
    <row r="28" spans="1:46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107">
        <f>COUNTIF(D28:AG28,"p")</f>
        <v>0</v>
      </c>
      <c r="AI28" s="107">
        <f>COUNTIF(D28:AG28,"AH")</f>
        <v>0</v>
      </c>
      <c r="AJ28" s="108">
        <f>COUNTIF(D28:AG28,"PC")</f>
        <v>0</v>
      </c>
      <c r="AK28" s="109">
        <f>COUNTIF(D28:AG28,"f")</f>
        <v>0</v>
      </c>
      <c r="AL28" s="110">
        <f>COUNTIF(D28:AG28,"ast")</f>
        <v>0</v>
      </c>
      <c r="AM28" s="111">
        <f>COUNTIF(D28:AG28,"cA")</f>
        <v>0</v>
      </c>
      <c r="AN28" s="112">
        <f>COUNTIF(D28:AG28,"rtt")</f>
        <v>0</v>
      </c>
      <c r="AO28" s="113">
        <f>COUNTIF(D28:AG28,"cex")</f>
        <v>0</v>
      </c>
      <c r="AP28" s="114">
        <f>COUNTIF(D28:AG28,"res")</f>
        <v>0</v>
      </c>
      <c r="AQ28" s="115">
        <f>COUNTIF(D28:AG28,"mA")</f>
        <v>0</v>
      </c>
      <c r="AR28" s="116">
        <f>COUNTIF(D28:AG28,"at")</f>
        <v>0</v>
      </c>
      <c r="AS28" s="117">
        <f>COUNTIF(D28:AG28,"TAD")</f>
        <v>0</v>
      </c>
      <c r="AT28" s="118">
        <f>COUNTIF(D28:AG28,"TP")</f>
        <v>0</v>
      </c>
    </row>
    <row r="29" spans="1:46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215">
        <f>COUNTIF(D29:AG29,"p")</f>
        <v>0</v>
      </c>
      <c r="AI29" s="215">
        <f>COUNTIF(D29:AG29,"AH")</f>
        <v>0</v>
      </c>
      <c r="AJ29" s="216">
        <f>COUNTIF(D29:AG29,"PC")</f>
        <v>0</v>
      </c>
      <c r="AK29" s="217">
        <f>COUNTIF(D29:AG29,"f")</f>
        <v>0</v>
      </c>
      <c r="AL29" s="218">
        <f>COUNTIF(D29:AG29,"ast")</f>
        <v>0</v>
      </c>
      <c r="AM29" s="219">
        <f>COUNTIF(D29:AG29,"cA")</f>
        <v>0</v>
      </c>
      <c r="AN29" s="220">
        <f>COUNTIF(D29:AG29,"rtt")</f>
        <v>0</v>
      </c>
      <c r="AO29" s="221">
        <f>COUNTIF(D29:AG29,"cex")</f>
        <v>0</v>
      </c>
      <c r="AP29" s="222">
        <f>COUNTIF(D29:AG29,"res")</f>
        <v>0</v>
      </c>
      <c r="AQ29" s="223">
        <f>COUNTIF(D29:AG29,"mA")</f>
        <v>0</v>
      </c>
      <c r="AR29" s="224">
        <f>COUNTIF(D29:AG29,"at")</f>
        <v>0</v>
      </c>
      <c r="AS29" s="225">
        <f>COUNTIF(D29:AG29,"TAD")</f>
        <v>0</v>
      </c>
      <c r="AT29" s="226">
        <f>COUNTIF(D29:AG29,"TP")</f>
        <v>0</v>
      </c>
    </row>
    <row r="30" spans="1:46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229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30"/>
    </row>
    <row r="31" spans="1:46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183">
        <f>COUNTIF(D31:AG31,"p")</f>
        <v>0</v>
      </c>
      <c r="AI31" s="183">
        <f>COUNTIF(D31:AG31,"AH")</f>
        <v>0</v>
      </c>
      <c r="AJ31" s="184">
        <f>COUNTIF(D31:AG31,"PC")</f>
        <v>0</v>
      </c>
      <c r="AK31" s="185">
        <f>COUNTIF(D31:AG31,"f")</f>
        <v>0</v>
      </c>
      <c r="AL31" s="186">
        <f>COUNTIF(D31:AG31,"ast")</f>
        <v>0</v>
      </c>
      <c r="AM31" s="187">
        <f>COUNTIF(D31:AG31,"cA")</f>
        <v>0</v>
      </c>
      <c r="AN31" s="188">
        <f>COUNTIF(D31:AG31,"rtt")</f>
        <v>0</v>
      </c>
      <c r="AO31" s="189">
        <f>COUNTIF(D31:AG31,"cex")</f>
        <v>0</v>
      </c>
      <c r="AP31" s="190">
        <f>COUNTIF(D31:AG31,"res")</f>
        <v>0</v>
      </c>
      <c r="AQ31" s="191">
        <f>COUNTIF(D31:AG31,"mA")</f>
        <v>0</v>
      </c>
      <c r="AR31" s="192">
        <f>COUNTIF(D31:AG31,"at")</f>
        <v>0</v>
      </c>
      <c r="AS31" s="193">
        <f>COUNTIF(D31:AG31,"TAD")</f>
        <v>0</v>
      </c>
      <c r="AT31" s="194">
        <f>COUNTIF(D31:AG31,"TP")</f>
        <v>0</v>
      </c>
    </row>
    <row r="32" spans="1:46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229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30"/>
    </row>
    <row r="33" spans="1:46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203">
        <f>COUNTIF(D33:AG33,"p")</f>
        <v>0</v>
      </c>
      <c r="AI33" s="203">
        <f>COUNTIF(D33:AG33,"AH")</f>
        <v>0</v>
      </c>
      <c r="AJ33" s="204">
        <f>COUNTIF(D33:AG33,"PC")</f>
        <v>0</v>
      </c>
      <c r="AK33" s="205">
        <f>COUNTIF(D33:AG33,"f")</f>
        <v>0</v>
      </c>
      <c r="AL33" s="206">
        <f>COUNTIF(D33:AG33,"ast")</f>
        <v>0</v>
      </c>
      <c r="AM33" s="207">
        <f>COUNTIF(D33:AG33,"cA")</f>
        <v>0</v>
      </c>
      <c r="AN33" s="208">
        <f>COUNTIF(D33:AG33,"rtt")</f>
        <v>0</v>
      </c>
      <c r="AO33" s="209">
        <f>COUNTIF(D33:AG33,"cex")</f>
        <v>0</v>
      </c>
      <c r="AP33" s="210">
        <f>COUNTIF(D33:AG33,"res")</f>
        <v>0</v>
      </c>
      <c r="AQ33" s="211">
        <f>COUNTIF(D33:AG33,"mA")</f>
        <v>0</v>
      </c>
      <c r="AR33" s="212">
        <f>COUNTIF(D33:AG33,"at")</f>
        <v>0</v>
      </c>
      <c r="AS33" s="213">
        <f>COUNTIF(D33:AG33,"TAD")</f>
        <v>0</v>
      </c>
      <c r="AT33" s="214">
        <f>COUNTIF(D33:AG33,"TP")</f>
        <v>0</v>
      </c>
    </row>
    <row r="34" spans="1:46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215">
        <f>COUNTIF(D34:AG34,"p")</f>
        <v>0</v>
      </c>
      <c r="AI34" s="215">
        <f>COUNTIF(D34:AG34,"AH")</f>
        <v>0</v>
      </c>
      <c r="AJ34" s="216">
        <f>COUNTIF(D34:AG34,"PC")</f>
        <v>0</v>
      </c>
      <c r="AK34" s="217">
        <f>COUNTIF(D34:AG34,"f")</f>
        <v>0</v>
      </c>
      <c r="AL34" s="218">
        <f>COUNTIF(D34:AG34,"ast")</f>
        <v>0</v>
      </c>
      <c r="AM34" s="219">
        <f>COUNTIF(D34:AG34,"cA")</f>
        <v>0</v>
      </c>
      <c r="AN34" s="220">
        <f>COUNTIF(D34:AG34,"rtt")</f>
        <v>0</v>
      </c>
      <c r="AO34" s="221">
        <f>COUNTIF(D34:AG34,"cex")</f>
        <v>0</v>
      </c>
      <c r="AP34" s="222">
        <f>COUNTIF(D34:AG34,"res")</f>
        <v>0</v>
      </c>
      <c r="AQ34" s="223">
        <f>COUNTIF(D34:AG34,"mA")</f>
        <v>0</v>
      </c>
      <c r="AR34" s="224">
        <f>COUNTIF(D34:AG34,"at")</f>
        <v>0</v>
      </c>
      <c r="AS34" s="225">
        <f>COUNTIF(D34:AG34,"TAD")</f>
        <v>0</v>
      </c>
      <c r="AT34" s="226">
        <f>COUNTIF(D34:AG34,"TP")</f>
        <v>0</v>
      </c>
    </row>
    <row r="35" spans="1:46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229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30"/>
    </row>
    <row r="36" spans="1:46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203">
        <f>COUNTIF(D36:AG36,"p")</f>
        <v>0</v>
      </c>
      <c r="AI36" s="203">
        <f>COUNTIF(D36:AG36,"AH")</f>
        <v>0</v>
      </c>
      <c r="AJ36" s="204">
        <f>COUNTIF(D36:AG36,"PC")</f>
        <v>0</v>
      </c>
      <c r="AK36" s="205">
        <f>COUNTIF(D36:AG36,"f")</f>
        <v>0</v>
      </c>
      <c r="AL36" s="206">
        <f>COUNTIF(D36:AG36,"ast")</f>
        <v>0</v>
      </c>
      <c r="AM36" s="207">
        <f>COUNTIF(D36:AG36,"cA")</f>
        <v>0</v>
      </c>
      <c r="AN36" s="208">
        <f>COUNTIF(D36:AG36,"rtt")</f>
        <v>0</v>
      </c>
      <c r="AO36" s="209">
        <f>COUNTIF(D36:AG36,"cex")</f>
        <v>0</v>
      </c>
      <c r="AP36" s="210">
        <f>COUNTIF(D36:AG36,"res")</f>
        <v>0</v>
      </c>
      <c r="AQ36" s="211">
        <f>COUNTIF(D36:AG36,"mA")</f>
        <v>0</v>
      </c>
      <c r="AR36" s="212">
        <f>COUNTIF(D36:AG36,"at")</f>
        <v>0</v>
      </c>
      <c r="AS36" s="213">
        <f>COUNTIF(D36:AG36,"TAD")</f>
        <v>0</v>
      </c>
      <c r="AT36" s="214">
        <f>COUNTIF(D36:AG36,"TP")</f>
        <v>0</v>
      </c>
    </row>
    <row r="37" spans="1:46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G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</row>
    <row r="38" spans="1:46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8"/>
    </row>
    <row r="39" spans="1:46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200"/>
    </row>
    <row r="40" spans="1:46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183">
        <f>COUNTIF(D40:AG40,"p")</f>
        <v>0</v>
      </c>
      <c r="AI40" s="183">
        <f>COUNTIF(D40:AG40,"AH")</f>
        <v>0</v>
      </c>
      <c r="AJ40" s="184">
        <f>COUNTIF(D40:AG40,"PC")</f>
        <v>0</v>
      </c>
      <c r="AK40" s="185">
        <f>COUNTIF(D40:AG40,"f")</f>
        <v>0</v>
      </c>
      <c r="AL40" s="186">
        <f>COUNTIF(D40:AG40,"ast")</f>
        <v>0</v>
      </c>
      <c r="AM40" s="187">
        <f>COUNTIF(D40:AG40,"cA")</f>
        <v>0</v>
      </c>
      <c r="AN40" s="188">
        <f>COUNTIF(D40:AG40,"rtt")</f>
        <v>0</v>
      </c>
      <c r="AO40" s="189">
        <f>COUNTIF(D40:AG40,"cex")</f>
        <v>0</v>
      </c>
      <c r="AP40" s="190">
        <f>COUNTIF(D40:AG40,"res")</f>
        <v>0</v>
      </c>
      <c r="AQ40" s="191">
        <f>COUNTIF(D40:AG40,"mA")</f>
        <v>0</v>
      </c>
      <c r="AR40" s="192">
        <f>COUNTIF(D40:AG40,"at")</f>
        <v>0</v>
      </c>
      <c r="AS40" s="193">
        <f>COUNTIF(D40:AG40,"TAD")</f>
        <v>0</v>
      </c>
      <c r="AT40" s="194">
        <f>COUNTIF(D40:AG40,"TP")</f>
        <v>0</v>
      </c>
    </row>
    <row r="41" spans="1:46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2"/>
    </row>
    <row r="42" spans="1:46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183">
        <f>COUNTIF(D42:AG42,"p")</f>
        <v>0</v>
      </c>
      <c r="AI42" s="183">
        <f>COUNTIF(D42:AG42,"AH")</f>
        <v>0</v>
      </c>
      <c r="AJ42" s="184">
        <f>COUNTIF(D42:AG42,"PC")</f>
        <v>0</v>
      </c>
      <c r="AK42" s="185">
        <f>COUNTIF(D42:AG42,"f")</f>
        <v>0</v>
      </c>
      <c r="AL42" s="186">
        <f>COUNTIF(D42:AG42,"ast")</f>
        <v>0</v>
      </c>
      <c r="AM42" s="187">
        <f>COUNTIF(D42:AG42,"cA")</f>
        <v>0</v>
      </c>
      <c r="AN42" s="188">
        <f>COUNTIF(D42:AG42,"rtt")</f>
        <v>0</v>
      </c>
      <c r="AO42" s="189">
        <f>COUNTIF(D42:AG42,"cex")</f>
        <v>0</v>
      </c>
      <c r="AP42" s="190">
        <f>COUNTIF(D42:AG42,"res")</f>
        <v>0</v>
      </c>
      <c r="AQ42" s="191">
        <f>COUNTIF(D42:AG42,"mA")</f>
        <v>0</v>
      </c>
      <c r="AR42" s="192">
        <f>COUNTIF(D42:AG42,"at")</f>
        <v>0</v>
      </c>
      <c r="AS42" s="193">
        <f>COUNTIF(D42:AG42,"TAD")</f>
        <v>0</v>
      </c>
      <c r="AT42" s="194">
        <f>COUNTIF(D42:AG42,"TP")</f>
        <v>0</v>
      </c>
    </row>
    <row r="43" spans="1:46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2"/>
    </row>
    <row r="44" spans="1:46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203">
        <f>COUNTIF(D44:AG44,"p")</f>
        <v>0</v>
      </c>
      <c r="AI44" s="203">
        <f>COUNTIF(D44:AG44,"AH")</f>
        <v>0</v>
      </c>
      <c r="AJ44" s="204">
        <f>COUNTIF(D44:AG44,"PC")</f>
        <v>0</v>
      </c>
      <c r="AK44" s="205">
        <f>COUNTIF(D44:AG44,"f")</f>
        <v>0</v>
      </c>
      <c r="AL44" s="206">
        <f>COUNTIF(D44:AG44,"ast")</f>
        <v>0</v>
      </c>
      <c r="AM44" s="207">
        <f>COUNTIF(D44:AG44,"cA")</f>
        <v>0</v>
      </c>
      <c r="AN44" s="208">
        <f>COUNTIF(D44:AG44,"rtt")</f>
        <v>0</v>
      </c>
      <c r="AO44" s="209">
        <f>COUNTIF(D44:AG44,"cex")</f>
        <v>0</v>
      </c>
      <c r="AP44" s="210">
        <f>COUNTIF(D44:AG44,"res")</f>
        <v>0</v>
      </c>
      <c r="AQ44" s="211">
        <f>COUNTIF(D44:AG44,"mA")</f>
        <v>0</v>
      </c>
      <c r="AR44" s="212">
        <f>COUNTIF(D44:AG44,"at")</f>
        <v>0</v>
      </c>
      <c r="AS44" s="213">
        <f>COUNTIF(D44:AG44,"TAD")</f>
        <v>0</v>
      </c>
      <c r="AT44" s="214">
        <f>COUNTIF(D44:AG44,"TP")</f>
        <v>0</v>
      </c>
    </row>
    <row r="45" spans="1:46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215">
        <f>COUNTIF(D45:AG45,"p")</f>
        <v>0</v>
      </c>
      <c r="AI45" s="215">
        <f>COUNTIF(D45:AG45,"AH")</f>
        <v>0</v>
      </c>
      <c r="AJ45" s="216">
        <f>COUNTIF(D45:AG45,"PC")</f>
        <v>0</v>
      </c>
      <c r="AK45" s="217">
        <f>COUNTIF(D45:AG45,"f")</f>
        <v>0</v>
      </c>
      <c r="AL45" s="218">
        <f>COUNTIF(D45:AG45,"ast")</f>
        <v>0</v>
      </c>
      <c r="AM45" s="219">
        <f>COUNTIF(D45:AG45,"cA")</f>
        <v>0</v>
      </c>
      <c r="AN45" s="220">
        <f>COUNTIF(D45:AG45,"rtt")</f>
        <v>0</v>
      </c>
      <c r="AO45" s="221">
        <f>COUNTIF(D45:AG45,"cex")</f>
        <v>0</v>
      </c>
      <c r="AP45" s="222">
        <f>COUNTIF(D45:AG45,"res")</f>
        <v>0</v>
      </c>
      <c r="AQ45" s="223">
        <f>COUNTIF(D45:AG45,"mA")</f>
        <v>0</v>
      </c>
      <c r="AR45" s="224">
        <f>COUNTIF(D45:AG45,"at")</f>
        <v>0</v>
      </c>
      <c r="AS45" s="225">
        <f>COUNTIF(D45:AG45,"TAD")</f>
        <v>0</v>
      </c>
      <c r="AT45" s="226">
        <f>COUNTIF(D45:AG45,"TP")</f>
        <v>0</v>
      </c>
    </row>
    <row r="46" spans="1:46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201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2"/>
    </row>
    <row r="47" spans="1:46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203">
        <f>COUNTIF(D47:AG47,"p")</f>
        <v>0</v>
      </c>
      <c r="AI47" s="203">
        <f>COUNTIF(D47:AG47,"AH")</f>
        <v>0</v>
      </c>
      <c r="AJ47" s="204">
        <f>COUNTIF(D47:AG47,"PC")</f>
        <v>0</v>
      </c>
      <c r="AK47" s="205">
        <f>COUNTIF(D47:AG47,"f")</f>
        <v>0</v>
      </c>
      <c r="AL47" s="206">
        <f>COUNTIF(D47:AG47,"ast")</f>
        <v>0</v>
      </c>
      <c r="AM47" s="207">
        <f>COUNTIF(D47:AG47,"cA")</f>
        <v>0</v>
      </c>
      <c r="AN47" s="208">
        <f>COUNTIF(D47:AG47,"rtt")</f>
        <v>0</v>
      </c>
      <c r="AO47" s="209">
        <f>COUNTIF(D47:AG47,"cex")</f>
        <v>0</v>
      </c>
      <c r="AP47" s="210">
        <f>COUNTIF(D47:AG47,"res")</f>
        <v>0</v>
      </c>
      <c r="AQ47" s="211">
        <f>COUNTIF(D47:AG47,"mA")</f>
        <v>0</v>
      </c>
      <c r="AR47" s="212">
        <f>COUNTIF(D47:AG47,"at")</f>
        <v>0</v>
      </c>
      <c r="AS47" s="213">
        <f>COUNTIF(D47:AG47,"TAD")</f>
        <v>0</v>
      </c>
      <c r="AT47" s="214">
        <f>COUNTIF(D47:AG47,"TP")</f>
        <v>0</v>
      </c>
    </row>
    <row r="48" spans="1:46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215">
        <f>COUNTIF(D48:AG48,"p")</f>
        <v>0</v>
      </c>
      <c r="AI48" s="215">
        <f>COUNTIF(D48:AG48,"AH")</f>
        <v>0</v>
      </c>
      <c r="AJ48" s="216">
        <f>COUNTIF(D48:AG48,"PC")</f>
        <v>0</v>
      </c>
      <c r="AK48" s="217">
        <f>COUNTIF(D48:AG48,"f")</f>
        <v>0</v>
      </c>
      <c r="AL48" s="218">
        <f>COUNTIF(D48:AG48,"ast")</f>
        <v>0</v>
      </c>
      <c r="AM48" s="219">
        <f>COUNTIF(D48:AG48,"cA")</f>
        <v>0</v>
      </c>
      <c r="AN48" s="220">
        <f>COUNTIF(D48:AG48,"rtt")</f>
        <v>0</v>
      </c>
      <c r="AO48" s="221">
        <f>COUNTIF(D48:AG48,"cex")</f>
        <v>0</v>
      </c>
      <c r="AP48" s="222">
        <f>COUNTIF(D48:AG48,"res")</f>
        <v>0</v>
      </c>
      <c r="AQ48" s="223">
        <f>COUNTIF(D48:AG48,"mA")</f>
        <v>0</v>
      </c>
      <c r="AR48" s="224">
        <f>COUNTIF(D48:AG48,"at")</f>
        <v>0</v>
      </c>
      <c r="AS48" s="225">
        <f>COUNTIF(D48:AG48,"TAD")</f>
        <v>0</v>
      </c>
      <c r="AT48" s="226">
        <f>COUNTIF(D48:AG48,"TP")</f>
        <v>0</v>
      </c>
    </row>
    <row r="49" spans="1:46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232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</row>
    <row r="50" spans="1:46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107">
        <f t="shared" ref="AH50:AH59" si="4">COUNTIF(D50:AG50,"p")</f>
        <v>0</v>
      </c>
      <c r="AI50" s="107">
        <f t="shared" ref="AI50:AI59" si="5">COUNTIF(D50:AG50,"AH")</f>
        <v>0</v>
      </c>
      <c r="AJ50" s="108">
        <f t="shared" ref="AJ50:AJ59" si="6">COUNTIF(D50:AG50,"PC")</f>
        <v>0</v>
      </c>
      <c r="AK50" s="109">
        <f t="shared" ref="AK50:AK59" si="7">COUNTIF(D50:AG50,"f")</f>
        <v>0</v>
      </c>
      <c r="AL50" s="110">
        <f t="shared" ref="AL50:AL59" si="8">COUNTIF(D50:AG50,"ast")</f>
        <v>0</v>
      </c>
      <c r="AM50" s="111">
        <f t="shared" ref="AM50:AM59" si="9">COUNTIF(D50:AG50,"cA")</f>
        <v>0</v>
      </c>
      <c r="AN50" s="112">
        <f t="shared" ref="AN50:AN59" si="10">COUNTIF(D50:AG50,"rtt")</f>
        <v>0</v>
      </c>
      <c r="AO50" s="113">
        <f t="shared" ref="AO50:AO59" si="11">COUNTIF(D50:AG50,"cex")</f>
        <v>0</v>
      </c>
      <c r="AP50" s="114">
        <f t="shared" ref="AP50:AP59" si="12">COUNTIF(D50:AG50,"res")</f>
        <v>0</v>
      </c>
      <c r="AQ50" s="115">
        <f t="shared" ref="AQ50:AQ59" si="13">COUNTIF(D50:AG50,"mA")</f>
        <v>0</v>
      </c>
      <c r="AR50" s="116">
        <f t="shared" ref="AR50:AR59" si="14">COUNTIF(D50:AG50,"at")</f>
        <v>0</v>
      </c>
      <c r="AS50" s="117">
        <f t="shared" ref="AS50:AS59" si="15">COUNTIF(D50:AG50,"TAD")</f>
        <v>0</v>
      </c>
      <c r="AT50" s="118">
        <f t="shared" ref="AT50:AT59" si="16">COUNTIF(D50:AG50,"TP")</f>
        <v>0</v>
      </c>
    </row>
    <row r="51" spans="1:46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107">
        <f t="shared" si="4"/>
        <v>0</v>
      </c>
      <c r="AI51" s="107">
        <f t="shared" si="5"/>
        <v>0</v>
      </c>
      <c r="AJ51" s="108">
        <f t="shared" si="6"/>
        <v>0</v>
      </c>
      <c r="AK51" s="109">
        <f t="shared" si="7"/>
        <v>0</v>
      </c>
      <c r="AL51" s="110">
        <f t="shared" si="8"/>
        <v>0</v>
      </c>
      <c r="AM51" s="111">
        <f t="shared" si="9"/>
        <v>0</v>
      </c>
      <c r="AN51" s="112">
        <f t="shared" si="10"/>
        <v>0</v>
      </c>
      <c r="AO51" s="113">
        <f t="shared" si="11"/>
        <v>0</v>
      </c>
      <c r="AP51" s="114">
        <f t="shared" si="12"/>
        <v>0</v>
      </c>
      <c r="AQ51" s="115">
        <f t="shared" si="13"/>
        <v>0</v>
      </c>
      <c r="AR51" s="116">
        <f t="shared" si="14"/>
        <v>0</v>
      </c>
      <c r="AS51" s="117">
        <f t="shared" si="15"/>
        <v>0</v>
      </c>
      <c r="AT51" s="118">
        <f t="shared" si="16"/>
        <v>0</v>
      </c>
    </row>
    <row r="52" spans="1:46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107">
        <f t="shared" si="4"/>
        <v>0</v>
      </c>
      <c r="AI52" s="107">
        <f t="shared" si="5"/>
        <v>0</v>
      </c>
      <c r="AJ52" s="108">
        <f t="shared" si="6"/>
        <v>0</v>
      </c>
      <c r="AK52" s="109">
        <f t="shared" si="7"/>
        <v>0</v>
      </c>
      <c r="AL52" s="110">
        <f t="shared" si="8"/>
        <v>0</v>
      </c>
      <c r="AM52" s="111">
        <f t="shared" si="9"/>
        <v>0</v>
      </c>
      <c r="AN52" s="112">
        <f t="shared" si="10"/>
        <v>0</v>
      </c>
      <c r="AO52" s="113">
        <f t="shared" si="11"/>
        <v>0</v>
      </c>
      <c r="AP52" s="114">
        <f t="shared" si="12"/>
        <v>0</v>
      </c>
      <c r="AQ52" s="115">
        <f t="shared" si="13"/>
        <v>0</v>
      </c>
      <c r="AR52" s="116">
        <f t="shared" si="14"/>
        <v>0</v>
      </c>
      <c r="AS52" s="117">
        <f t="shared" si="15"/>
        <v>0</v>
      </c>
      <c r="AT52" s="118">
        <f t="shared" si="16"/>
        <v>0</v>
      </c>
    </row>
    <row r="53" spans="1:46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 t="s">
        <v>233</v>
      </c>
      <c r="Q53" s="75" t="s">
        <v>233</v>
      </c>
      <c r="R53" s="75" t="s">
        <v>233</v>
      </c>
      <c r="S53" s="75" t="s">
        <v>233</v>
      </c>
      <c r="T53" s="75" t="s">
        <v>233</v>
      </c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107">
        <f t="shared" si="4"/>
        <v>0</v>
      </c>
      <c r="AI53" s="107">
        <f t="shared" si="5"/>
        <v>0</v>
      </c>
      <c r="AJ53" s="108">
        <f t="shared" si="6"/>
        <v>5</v>
      </c>
      <c r="AK53" s="109">
        <f t="shared" si="7"/>
        <v>0</v>
      </c>
      <c r="AL53" s="110">
        <f t="shared" si="8"/>
        <v>0</v>
      </c>
      <c r="AM53" s="111">
        <f t="shared" si="9"/>
        <v>0</v>
      </c>
      <c r="AN53" s="112">
        <f t="shared" si="10"/>
        <v>0</v>
      </c>
      <c r="AO53" s="113">
        <f t="shared" si="11"/>
        <v>0</v>
      </c>
      <c r="AP53" s="114">
        <f t="shared" si="12"/>
        <v>0</v>
      </c>
      <c r="AQ53" s="115">
        <f t="shared" si="13"/>
        <v>0</v>
      </c>
      <c r="AR53" s="116">
        <f t="shared" si="14"/>
        <v>0</v>
      </c>
      <c r="AS53" s="117">
        <f t="shared" si="15"/>
        <v>0</v>
      </c>
      <c r="AT53" s="118">
        <f t="shared" si="16"/>
        <v>0</v>
      </c>
    </row>
    <row r="54" spans="1:46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107">
        <f t="shared" si="4"/>
        <v>0</v>
      </c>
      <c r="AI54" s="107">
        <f t="shared" si="5"/>
        <v>0</v>
      </c>
      <c r="AJ54" s="108">
        <f t="shared" si="6"/>
        <v>0</v>
      </c>
      <c r="AK54" s="109">
        <f t="shared" si="7"/>
        <v>0</v>
      </c>
      <c r="AL54" s="110">
        <f t="shared" si="8"/>
        <v>0</v>
      </c>
      <c r="AM54" s="111">
        <f t="shared" si="9"/>
        <v>0</v>
      </c>
      <c r="AN54" s="112">
        <f t="shared" si="10"/>
        <v>0</v>
      </c>
      <c r="AO54" s="113">
        <f t="shared" si="11"/>
        <v>0</v>
      </c>
      <c r="AP54" s="114">
        <f t="shared" si="12"/>
        <v>0</v>
      </c>
      <c r="AQ54" s="115">
        <f t="shared" si="13"/>
        <v>0</v>
      </c>
      <c r="AR54" s="116">
        <f t="shared" si="14"/>
        <v>0</v>
      </c>
      <c r="AS54" s="117">
        <f t="shared" si="15"/>
        <v>0</v>
      </c>
      <c r="AT54" s="118">
        <f t="shared" si="16"/>
        <v>0</v>
      </c>
    </row>
    <row r="55" spans="1:46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107">
        <f t="shared" si="4"/>
        <v>0</v>
      </c>
      <c r="AI55" s="107">
        <f t="shared" si="5"/>
        <v>0</v>
      </c>
      <c r="AJ55" s="108">
        <f t="shared" si="6"/>
        <v>0</v>
      </c>
      <c r="AK55" s="109">
        <f t="shared" si="7"/>
        <v>0</v>
      </c>
      <c r="AL55" s="110">
        <f t="shared" si="8"/>
        <v>0</v>
      </c>
      <c r="AM55" s="111">
        <f t="shared" si="9"/>
        <v>0</v>
      </c>
      <c r="AN55" s="112">
        <f t="shared" si="10"/>
        <v>0</v>
      </c>
      <c r="AO55" s="113">
        <f t="shared" si="11"/>
        <v>0</v>
      </c>
      <c r="AP55" s="114">
        <f t="shared" si="12"/>
        <v>0</v>
      </c>
      <c r="AQ55" s="115">
        <f t="shared" si="13"/>
        <v>0</v>
      </c>
      <c r="AR55" s="116">
        <f t="shared" si="14"/>
        <v>0</v>
      </c>
      <c r="AS55" s="117">
        <f t="shared" si="15"/>
        <v>0</v>
      </c>
      <c r="AT55" s="118">
        <f t="shared" si="16"/>
        <v>0</v>
      </c>
    </row>
    <row r="56" spans="1:46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107">
        <f t="shared" si="4"/>
        <v>0</v>
      </c>
      <c r="AI56" s="107">
        <f t="shared" si="5"/>
        <v>0</v>
      </c>
      <c r="AJ56" s="108">
        <f t="shared" si="6"/>
        <v>0</v>
      </c>
      <c r="AK56" s="109">
        <f t="shared" si="7"/>
        <v>0</v>
      </c>
      <c r="AL56" s="110">
        <f t="shared" si="8"/>
        <v>0</v>
      </c>
      <c r="AM56" s="111">
        <f t="shared" si="9"/>
        <v>0</v>
      </c>
      <c r="AN56" s="112">
        <f t="shared" si="10"/>
        <v>0</v>
      </c>
      <c r="AO56" s="113">
        <f t="shared" si="11"/>
        <v>0</v>
      </c>
      <c r="AP56" s="114">
        <f t="shared" si="12"/>
        <v>0</v>
      </c>
      <c r="AQ56" s="115">
        <f t="shared" si="13"/>
        <v>0</v>
      </c>
      <c r="AR56" s="116">
        <f t="shared" si="14"/>
        <v>0</v>
      </c>
      <c r="AS56" s="117">
        <f t="shared" si="15"/>
        <v>0</v>
      </c>
      <c r="AT56" s="118">
        <f t="shared" si="16"/>
        <v>0</v>
      </c>
    </row>
    <row r="57" spans="1:46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107">
        <f t="shared" si="4"/>
        <v>0</v>
      </c>
      <c r="AI57" s="107">
        <f t="shared" si="5"/>
        <v>0</v>
      </c>
      <c r="AJ57" s="108">
        <f t="shared" si="6"/>
        <v>0</v>
      </c>
      <c r="AK57" s="109">
        <f t="shared" si="7"/>
        <v>0</v>
      </c>
      <c r="AL57" s="110">
        <f t="shared" si="8"/>
        <v>0</v>
      </c>
      <c r="AM57" s="111">
        <f t="shared" si="9"/>
        <v>0</v>
      </c>
      <c r="AN57" s="112">
        <f t="shared" si="10"/>
        <v>0</v>
      </c>
      <c r="AO57" s="113">
        <f t="shared" si="11"/>
        <v>0</v>
      </c>
      <c r="AP57" s="114">
        <f t="shared" si="12"/>
        <v>0</v>
      </c>
      <c r="AQ57" s="115">
        <f t="shared" si="13"/>
        <v>0</v>
      </c>
      <c r="AR57" s="116">
        <f t="shared" si="14"/>
        <v>0</v>
      </c>
      <c r="AS57" s="117">
        <f t="shared" si="15"/>
        <v>0</v>
      </c>
      <c r="AT57" s="118">
        <f t="shared" si="16"/>
        <v>0</v>
      </c>
    </row>
    <row r="58" spans="1:46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107">
        <f t="shared" si="4"/>
        <v>0</v>
      </c>
      <c r="AI58" s="107">
        <f t="shared" si="5"/>
        <v>0</v>
      </c>
      <c r="AJ58" s="108">
        <f t="shared" si="6"/>
        <v>0</v>
      </c>
      <c r="AK58" s="109">
        <f t="shared" si="7"/>
        <v>0</v>
      </c>
      <c r="AL58" s="110">
        <f t="shared" si="8"/>
        <v>0</v>
      </c>
      <c r="AM58" s="111">
        <f t="shared" si="9"/>
        <v>0</v>
      </c>
      <c r="AN58" s="112">
        <f t="shared" si="10"/>
        <v>0</v>
      </c>
      <c r="AO58" s="113">
        <f t="shared" si="11"/>
        <v>0</v>
      </c>
      <c r="AP58" s="114">
        <f t="shared" si="12"/>
        <v>0</v>
      </c>
      <c r="AQ58" s="115">
        <f t="shared" si="13"/>
        <v>0</v>
      </c>
      <c r="AR58" s="116">
        <f t="shared" si="14"/>
        <v>0</v>
      </c>
      <c r="AS58" s="117">
        <f t="shared" si="15"/>
        <v>0</v>
      </c>
      <c r="AT58" s="118">
        <f t="shared" si="16"/>
        <v>0</v>
      </c>
    </row>
    <row r="59" spans="1:46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 t="s">
        <v>233</v>
      </c>
      <c r="K59" s="75" t="s">
        <v>233</v>
      </c>
      <c r="L59" s="75" t="s">
        <v>233</v>
      </c>
      <c r="M59" s="75" t="s">
        <v>233</v>
      </c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107">
        <f t="shared" si="4"/>
        <v>0</v>
      </c>
      <c r="AI59" s="107">
        <f t="shared" si="5"/>
        <v>0</v>
      </c>
      <c r="AJ59" s="108">
        <f t="shared" si="6"/>
        <v>4</v>
      </c>
      <c r="AK59" s="109">
        <f t="shared" si="7"/>
        <v>0</v>
      </c>
      <c r="AL59" s="110">
        <f t="shared" si="8"/>
        <v>0</v>
      </c>
      <c r="AM59" s="111">
        <f t="shared" si="9"/>
        <v>0</v>
      </c>
      <c r="AN59" s="112">
        <f t="shared" si="10"/>
        <v>0</v>
      </c>
      <c r="AO59" s="113">
        <f t="shared" si="11"/>
        <v>0</v>
      </c>
      <c r="AP59" s="114">
        <f t="shared" si="12"/>
        <v>0</v>
      </c>
      <c r="AQ59" s="115">
        <f t="shared" si="13"/>
        <v>0</v>
      </c>
      <c r="AR59" s="116">
        <f t="shared" si="14"/>
        <v>0</v>
      </c>
      <c r="AS59" s="117">
        <f t="shared" si="15"/>
        <v>0</v>
      </c>
      <c r="AT59" s="118">
        <f t="shared" si="16"/>
        <v>0</v>
      </c>
    </row>
    <row r="60" spans="1:46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G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3"/>
    </row>
    <row r="61" spans="1:46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</row>
    <row r="62" spans="1:46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107">
        <f t="shared" ref="AH62:AH72" si="18">COUNTIF(D62:AG62,"p")</f>
        <v>0</v>
      </c>
      <c r="AI62" s="107">
        <f t="shared" ref="AI62:AI72" si="19">COUNTIF(D62:AG62,"AH")</f>
        <v>0</v>
      </c>
      <c r="AJ62" s="108">
        <f t="shared" ref="AJ62:AJ72" si="20">COUNTIF(D62:AG62,"PC")</f>
        <v>0</v>
      </c>
      <c r="AK62" s="109">
        <f t="shared" ref="AK62:AK72" si="21">COUNTIF(D62:AG62,"f")</f>
        <v>0</v>
      </c>
      <c r="AL62" s="110">
        <f t="shared" ref="AL62:AL72" si="22">COUNTIF(D62:AG62,"ast")</f>
        <v>0</v>
      </c>
      <c r="AM62" s="111">
        <f t="shared" ref="AM62:AM72" si="23">COUNTIF(D62:AG62,"cA")</f>
        <v>0</v>
      </c>
      <c r="AN62" s="112">
        <f t="shared" ref="AN62:AN72" si="24">COUNTIF(D62:AG62,"rtt")</f>
        <v>0</v>
      </c>
      <c r="AO62" s="113">
        <f t="shared" ref="AO62:AO72" si="25">COUNTIF(D62:AG62,"cex")</f>
        <v>0</v>
      </c>
      <c r="AP62" s="114">
        <f t="shared" ref="AP62:AP72" si="26">COUNTIF(D62:AG62,"res")</f>
        <v>0</v>
      </c>
      <c r="AQ62" s="115">
        <f t="shared" ref="AQ62:AQ72" si="27">COUNTIF(D62:AG62,"mA")</f>
        <v>0</v>
      </c>
      <c r="AR62" s="116">
        <f t="shared" ref="AR62:AR72" si="28">COUNTIF(D62:AG62,"at")</f>
        <v>0</v>
      </c>
      <c r="AS62" s="117">
        <f t="shared" ref="AS62:AS72" si="29">COUNTIF(D62:AG62,"TAD")</f>
        <v>0</v>
      </c>
      <c r="AT62" s="118">
        <f t="shared" ref="AT62:AT72" si="30">COUNTIF(D62:AG62,"TP")</f>
        <v>0</v>
      </c>
    </row>
    <row r="63" spans="1:46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107">
        <f t="shared" si="18"/>
        <v>0</v>
      </c>
      <c r="AI63" s="107">
        <f t="shared" si="19"/>
        <v>0</v>
      </c>
      <c r="AJ63" s="108">
        <f t="shared" si="20"/>
        <v>0</v>
      </c>
      <c r="AK63" s="109">
        <f t="shared" si="21"/>
        <v>0</v>
      </c>
      <c r="AL63" s="110">
        <f t="shared" si="22"/>
        <v>0</v>
      </c>
      <c r="AM63" s="111">
        <f t="shared" si="23"/>
        <v>0</v>
      </c>
      <c r="AN63" s="112">
        <f t="shared" si="24"/>
        <v>0</v>
      </c>
      <c r="AO63" s="113">
        <f t="shared" si="25"/>
        <v>0</v>
      </c>
      <c r="AP63" s="114">
        <f t="shared" si="26"/>
        <v>0</v>
      </c>
      <c r="AQ63" s="115">
        <f t="shared" si="27"/>
        <v>0</v>
      </c>
      <c r="AR63" s="116">
        <f t="shared" si="28"/>
        <v>0</v>
      </c>
      <c r="AS63" s="117">
        <f t="shared" si="29"/>
        <v>0</v>
      </c>
      <c r="AT63" s="118">
        <f t="shared" si="30"/>
        <v>0</v>
      </c>
    </row>
    <row r="64" spans="1:46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107">
        <f t="shared" si="18"/>
        <v>0</v>
      </c>
      <c r="AI64" s="107">
        <f t="shared" si="19"/>
        <v>0</v>
      </c>
      <c r="AJ64" s="108">
        <f t="shared" si="20"/>
        <v>0</v>
      </c>
      <c r="AK64" s="109">
        <f t="shared" si="21"/>
        <v>0</v>
      </c>
      <c r="AL64" s="110">
        <f t="shared" si="22"/>
        <v>0</v>
      </c>
      <c r="AM64" s="111">
        <f t="shared" si="23"/>
        <v>0</v>
      </c>
      <c r="AN64" s="112">
        <f t="shared" si="24"/>
        <v>0</v>
      </c>
      <c r="AO64" s="113">
        <f t="shared" si="25"/>
        <v>0</v>
      </c>
      <c r="AP64" s="114">
        <f t="shared" si="26"/>
        <v>0</v>
      </c>
      <c r="AQ64" s="115">
        <f t="shared" si="27"/>
        <v>0</v>
      </c>
      <c r="AR64" s="116">
        <f t="shared" si="28"/>
        <v>0</v>
      </c>
      <c r="AS64" s="117">
        <f t="shared" si="29"/>
        <v>0</v>
      </c>
      <c r="AT64" s="118">
        <f t="shared" si="30"/>
        <v>0</v>
      </c>
    </row>
    <row r="65" spans="1:46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107">
        <f t="shared" si="18"/>
        <v>0</v>
      </c>
      <c r="AI65" s="107">
        <f t="shared" si="19"/>
        <v>0</v>
      </c>
      <c r="AJ65" s="108">
        <f t="shared" si="20"/>
        <v>0</v>
      </c>
      <c r="AK65" s="109">
        <f t="shared" si="21"/>
        <v>0</v>
      </c>
      <c r="AL65" s="110">
        <f t="shared" si="22"/>
        <v>0</v>
      </c>
      <c r="AM65" s="111">
        <f t="shared" si="23"/>
        <v>0</v>
      </c>
      <c r="AN65" s="112">
        <f t="shared" si="24"/>
        <v>0</v>
      </c>
      <c r="AO65" s="113">
        <f t="shared" si="25"/>
        <v>0</v>
      </c>
      <c r="AP65" s="114">
        <f t="shared" si="26"/>
        <v>0</v>
      </c>
      <c r="AQ65" s="115">
        <f t="shared" si="27"/>
        <v>0</v>
      </c>
      <c r="AR65" s="116">
        <f t="shared" si="28"/>
        <v>0</v>
      </c>
      <c r="AS65" s="117">
        <f t="shared" si="29"/>
        <v>0</v>
      </c>
      <c r="AT65" s="118">
        <f t="shared" si="30"/>
        <v>0</v>
      </c>
    </row>
    <row r="66" spans="1:46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107">
        <f t="shared" si="18"/>
        <v>0</v>
      </c>
      <c r="AI66" s="107">
        <f t="shared" si="19"/>
        <v>0</v>
      </c>
      <c r="AJ66" s="108">
        <f t="shared" si="20"/>
        <v>0</v>
      </c>
      <c r="AK66" s="109">
        <f t="shared" si="21"/>
        <v>0</v>
      </c>
      <c r="AL66" s="110">
        <f t="shared" si="22"/>
        <v>0</v>
      </c>
      <c r="AM66" s="111">
        <f t="shared" si="23"/>
        <v>0</v>
      </c>
      <c r="AN66" s="112">
        <f t="shared" si="24"/>
        <v>0</v>
      </c>
      <c r="AO66" s="113">
        <f t="shared" si="25"/>
        <v>0</v>
      </c>
      <c r="AP66" s="114">
        <f t="shared" si="26"/>
        <v>0</v>
      </c>
      <c r="AQ66" s="115">
        <f t="shared" si="27"/>
        <v>0</v>
      </c>
      <c r="AR66" s="116">
        <f t="shared" si="28"/>
        <v>0</v>
      </c>
      <c r="AS66" s="117">
        <f t="shared" si="29"/>
        <v>0</v>
      </c>
      <c r="AT66" s="118">
        <f t="shared" si="30"/>
        <v>0</v>
      </c>
    </row>
    <row r="67" spans="1:46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107">
        <f t="shared" si="18"/>
        <v>0</v>
      </c>
      <c r="AI67" s="107">
        <f t="shared" si="19"/>
        <v>0</v>
      </c>
      <c r="AJ67" s="108">
        <f t="shared" si="20"/>
        <v>0</v>
      </c>
      <c r="AK67" s="109">
        <f t="shared" si="21"/>
        <v>0</v>
      </c>
      <c r="AL67" s="110">
        <f t="shared" si="22"/>
        <v>0</v>
      </c>
      <c r="AM67" s="111">
        <f t="shared" si="23"/>
        <v>0</v>
      </c>
      <c r="AN67" s="112">
        <f t="shared" si="24"/>
        <v>0</v>
      </c>
      <c r="AO67" s="113">
        <f t="shared" si="25"/>
        <v>0</v>
      </c>
      <c r="AP67" s="114">
        <f t="shared" si="26"/>
        <v>0</v>
      </c>
      <c r="AQ67" s="115">
        <f t="shared" si="27"/>
        <v>0</v>
      </c>
      <c r="AR67" s="116">
        <f t="shared" si="28"/>
        <v>0</v>
      </c>
      <c r="AS67" s="117">
        <f t="shared" si="29"/>
        <v>0</v>
      </c>
      <c r="AT67" s="118">
        <f t="shared" si="30"/>
        <v>0</v>
      </c>
    </row>
    <row r="68" spans="1:46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107">
        <f t="shared" si="18"/>
        <v>0</v>
      </c>
      <c r="AI68" s="107">
        <f t="shared" si="19"/>
        <v>0</v>
      </c>
      <c r="AJ68" s="108">
        <f t="shared" si="20"/>
        <v>0</v>
      </c>
      <c r="AK68" s="109">
        <f t="shared" si="21"/>
        <v>0</v>
      </c>
      <c r="AL68" s="110">
        <f t="shared" si="22"/>
        <v>0</v>
      </c>
      <c r="AM68" s="111">
        <f t="shared" si="23"/>
        <v>0</v>
      </c>
      <c r="AN68" s="112">
        <f t="shared" si="24"/>
        <v>0</v>
      </c>
      <c r="AO68" s="113">
        <f t="shared" si="25"/>
        <v>0</v>
      </c>
      <c r="AP68" s="114">
        <f t="shared" si="26"/>
        <v>0</v>
      </c>
      <c r="AQ68" s="115">
        <f t="shared" si="27"/>
        <v>0</v>
      </c>
      <c r="AR68" s="116">
        <f t="shared" si="28"/>
        <v>0</v>
      </c>
      <c r="AS68" s="117">
        <f t="shared" si="29"/>
        <v>0</v>
      </c>
      <c r="AT68" s="118">
        <f t="shared" si="30"/>
        <v>0</v>
      </c>
    </row>
    <row r="69" spans="1:46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107">
        <f t="shared" si="18"/>
        <v>0</v>
      </c>
      <c r="AI69" s="107">
        <f t="shared" si="19"/>
        <v>0</v>
      </c>
      <c r="AJ69" s="108">
        <f t="shared" si="20"/>
        <v>0</v>
      </c>
      <c r="AK69" s="109">
        <f t="shared" si="21"/>
        <v>0</v>
      </c>
      <c r="AL69" s="110">
        <f t="shared" si="22"/>
        <v>0</v>
      </c>
      <c r="AM69" s="111">
        <f t="shared" si="23"/>
        <v>0</v>
      </c>
      <c r="AN69" s="112">
        <f t="shared" si="24"/>
        <v>0</v>
      </c>
      <c r="AO69" s="113">
        <f t="shared" si="25"/>
        <v>0</v>
      </c>
      <c r="AP69" s="114">
        <f t="shared" si="26"/>
        <v>0</v>
      </c>
      <c r="AQ69" s="115">
        <f t="shared" si="27"/>
        <v>0</v>
      </c>
      <c r="AR69" s="116">
        <f t="shared" si="28"/>
        <v>0</v>
      </c>
      <c r="AS69" s="117">
        <f t="shared" si="29"/>
        <v>0</v>
      </c>
      <c r="AT69" s="118">
        <f t="shared" si="30"/>
        <v>0</v>
      </c>
    </row>
    <row r="70" spans="1:46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 t="s">
        <v>234</v>
      </c>
      <c r="K70" s="75" t="s">
        <v>234</v>
      </c>
      <c r="L70" s="75" t="s">
        <v>234</v>
      </c>
      <c r="M70" s="75" t="s">
        <v>234</v>
      </c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 t="s">
        <v>234</v>
      </c>
      <c r="AE70" s="75" t="s">
        <v>234</v>
      </c>
      <c r="AF70" s="75" t="s">
        <v>234</v>
      </c>
      <c r="AG70" s="75" t="s">
        <v>234</v>
      </c>
      <c r="AH70" s="107">
        <f t="shared" si="18"/>
        <v>0</v>
      </c>
      <c r="AI70" s="107">
        <f t="shared" si="19"/>
        <v>0</v>
      </c>
      <c r="AJ70" s="108">
        <f t="shared" si="20"/>
        <v>0</v>
      </c>
      <c r="AK70" s="109">
        <f t="shared" si="21"/>
        <v>8</v>
      </c>
      <c r="AL70" s="110">
        <f t="shared" si="22"/>
        <v>0</v>
      </c>
      <c r="AM70" s="111">
        <f t="shared" si="23"/>
        <v>0</v>
      </c>
      <c r="AN70" s="112">
        <f t="shared" si="24"/>
        <v>0</v>
      </c>
      <c r="AO70" s="113">
        <f t="shared" si="25"/>
        <v>0</v>
      </c>
      <c r="AP70" s="114">
        <f t="shared" si="26"/>
        <v>0</v>
      </c>
      <c r="AQ70" s="115">
        <f t="shared" si="27"/>
        <v>0</v>
      </c>
      <c r="AR70" s="116">
        <f t="shared" si="28"/>
        <v>0</v>
      </c>
      <c r="AS70" s="117">
        <f t="shared" si="29"/>
        <v>0</v>
      </c>
      <c r="AT70" s="118">
        <f t="shared" si="30"/>
        <v>0</v>
      </c>
    </row>
    <row r="71" spans="1:46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107">
        <f t="shared" si="18"/>
        <v>0</v>
      </c>
      <c r="AI71" s="107">
        <f t="shared" si="19"/>
        <v>0</v>
      </c>
      <c r="AJ71" s="108">
        <f t="shared" si="20"/>
        <v>0</v>
      </c>
      <c r="AK71" s="109">
        <f t="shared" si="21"/>
        <v>0</v>
      </c>
      <c r="AL71" s="110">
        <f t="shared" si="22"/>
        <v>0</v>
      </c>
      <c r="AM71" s="111">
        <f t="shared" si="23"/>
        <v>0</v>
      </c>
      <c r="AN71" s="112">
        <f t="shared" si="24"/>
        <v>0</v>
      </c>
      <c r="AO71" s="113">
        <f t="shared" si="25"/>
        <v>0</v>
      </c>
      <c r="AP71" s="114">
        <f t="shared" si="26"/>
        <v>0</v>
      </c>
      <c r="AQ71" s="115">
        <f t="shared" si="27"/>
        <v>0</v>
      </c>
      <c r="AR71" s="116">
        <f t="shared" si="28"/>
        <v>0</v>
      </c>
      <c r="AS71" s="117">
        <f t="shared" si="29"/>
        <v>0</v>
      </c>
      <c r="AT71" s="118">
        <f t="shared" si="30"/>
        <v>0</v>
      </c>
    </row>
    <row r="72" spans="1:46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107">
        <f t="shared" si="18"/>
        <v>0</v>
      </c>
      <c r="AI72" s="107">
        <f t="shared" si="19"/>
        <v>0</v>
      </c>
      <c r="AJ72" s="108">
        <f t="shared" si="20"/>
        <v>0</v>
      </c>
      <c r="AK72" s="109">
        <f t="shared" si="21"/>
        <v>0</v>
      </c>
      <c r="AL72" s="110">
        <f t="shared" si="22"/>
        <v>0</v>
      </c>
      <c r="AM72" s="111">
        <f t="shared" si="23"/>
        <v>0</v>
      </c>
      <c r="AN72" s="112">
        <f t="shared" si="24"/>
        <v>0</v>
      </c>
      <c r="AO72" s="113">
        <f t="shared" si="25"/>
        <v>0</v>
      </c>
      <c r="AP72" s="114">
        <f t="shared" si="26"/>
        <v>0</v>
      </c>
      <c r="AQ72" s="115">
        <f t="shared" si="27"/>
        <v>0</v>
      </c>
      <c r="AR72" s="116">
        <f t="shared" si="28"/>
        <v>0</v>
      </c>
      <c r="AS72" s="117">
        <f t="shared" si="29"/>
        <v>0</v>
      </c>
      <c r="AT72" s="118">
        <f t="shared" si="30"/>
        <v>0</v>
      </c>
    </row>
    <row r="73" spans="1:46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G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235"/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</row>
    <row r="74" spans="1:46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G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3"/>
    </row>
    <row r="75" spans="1:46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</row>
    <row r="76" spans="1:46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107">
        <f>COUNTIF(D76:AG76,"p")</f>
        <v>0</v>
      </c>
      <c r="AI76" s="107">
        <f>COUNTIF(D76:AG76,"AH")</f>
        <v>0</v>
      </c>
      <c r="AJ76" s="108">
        <f>COUNTIF(D76:AG76,"PC")</f>
        <v>0</v>
      </c>
      <c r="AK76" s="109">
        <f>COUNTIF(D76:AG76,"f")</f>
        <v>0</v>
      </c>
      <c r="AL76" s="110">
        <f>COUNTIF(D76:AG76,"ast")</f>
        <v>0</v>
      </c>
      <c r="AM76" s="111">
        <f>COUNTIF(D76:AG76,"cA")</f>
        <v>0</v>
      </c>
      <c r="AN76" s="112">
        <f>COUNTIF(D76:AG76,"rtt")</f>
        <v>0</v>
      </c>
      <c r="AO76" s="113">
        <f>COUNTIF(D76:AG76,"cex")</f>
        <v>0</v>
      </c>
      <c r="AP76" s="114">
        <f>COUNTIF(D76:AG76,"res")</f>
        <v>0</v>
      </c>
      <c r="AQ76" s="115">
        <f>COUNTIF(D76:AG76,"mA")</f>
        <v>0</v>
      </c>
      <c r="AR76" s="116">
        <f>COUNTIF(D76:AG76,"at")</f>
        <v>0</v>
      </c>
      <c r="AS76" s="117">
        <f>COUNTIF(D76:AG76,"TAD")</f>
        <v>0</v>
      </c>
      <c r="AT76" s="118">
        <f>COUNTIF(D76:AG76,"TP")</f>
        <v>0</v>
      </c>
    </row>
    <row r="77" spans="1:46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107">
        <f>COUNTIF(D77:AG77,"p")</f>
        <v>0</v>
      </c>
      <c r="AI77" s="107">
        <f>COUNTIF(D77:AG77,"AH")</f>
        <v>0</v>
      </c>
      <c r="AJ77" s="108">
        <f>COUNTIF(D77:AG77,"PC")</f>
        <v>0</v>
      </c>
      <c r="AK77" s="109">
        <f>COUNTIF(D77:AG77,"f")</f>
        <v>0</v>
      </c>
      <c r="AL77" s="110">
        <f>COUNTIF(D77:AG77,"ast")</f>
        <v>0</v>
      </c>
      <c r="AM77" s="111">
        <f>COUNTIF(D77:AG77,"cA")</f>
        <v>0</v>
      </c>
      <c r="AN77" s="112">
        <f>COUNTIF(D77:AG77,"rtt")</f>
        <v>0</v>
      </c>
      <c r="AO77" s="113">
        <f>COUNTIF(D77:AG77,"cex")</f>
        <v>0</v>
      </c>
      <c r="AP77" s="114">
        <f>COUNTIF(D77:AG77,"res")</f>
        <v>0</v>
      </c>
      <c r="AQ77" s="115">
        <f>COUNTIF(D77:AG77,"mA")</f>
        <v>0</v>
      </c>
      <c r="AR77" s="116">
        <f>COUNTIF(D77:AG77,"at")</f>
        <v>0</v>
      </c>
      <c r="AS77" s="117">
        <f>COUNTIF(D77:AG77,"TAD")</f>
        <v>0</v>
      </c>
      <c r="AT77" s="118">
        <f>COUNTIF(D77:AG77,"TP")</f>
        <v>0</v>
      </c>
    </row>
    <row r="78" spans="1:46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</row>
    <row r="79" spans="1:46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107">
        <f>COUNTIF(D79:AG79,"p")</f>
        <v>0</v>
      </c>
      <c r="AI79" s="107">
        <f>COUNTIF(D79:AG79,"AH")</f>
        <v>0</v>
      </c>
      <c r="AJ79" s="108">
        <f>COUNTIF(D79:AG79,"PC")</f>
        <v>0</v>
      </c>
      <c r="AK79" s="109">
        <f>COUNTIF(D79:AG79,"f")</f>
        <v>0</v>
      </c>
      <c r="AL79" s="110">
        <f>COUNTIF(D79:AG79,"ast")</f>
        <v>0</v>
      </c>
      <c r="AM79" s="111">
        <f>COUNTIF(D79:AG79,"cA")</f>
        <v>0</v>
      </c>
      <c r="AN79" s="112">
        <f>COUNTIF(D79:AG79,"rtt")</f>
        <v>0</v>
      </c>
      <c r="AO79" s="113">
        <f>COUNTIF(D79:AG79,"cex")</f>
        <v>0</v>
      </c>
      <c r="AP79" s="114">
        <f>COUNTIF(D79:AG79,"res")</f>
        <v>0</v>
      </c>
      <c r="AQ79" s="115">
        <f>COUNTIF(D79:AG79,"mA")</f>
        <v>0</v>
      </c>
      <c r="AR79" s="116">
        <f>COUNTIF(D79:AG79,"at")</f>
        <v>0</v>
      </c>
      <c r="AS79" s="117">
        <f>COUNTIF(D79:AG79,"TAD")</f>
        <v>0</v>
      </c>
      <c r="AT79" s="118">
        <f>COUNTIF(D79:AG79,"TP")</f>
        <v>0</v>
      </c>
    </row>
    <row r="80" spans="1:46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107">
        <f>COUNTIF(D80:AG80,"p")</f>
        <v>0</v>
      </c>
      <c r="AI80" s="107">
        <f>COUNTIF(D80:AG80,"AH")</f>
        <v>0</v>
      </c>
      <c r="AJ80" s="108">
        <f>COUNTIF(D80:AG80,"PC")</f>
        <v>0</v>
      </c>
      <c r="AK80" s="109">
        <f>COUNTIF(D80:AG80,"f")</f>
        <v>0</v>
      </c>
      <c r="AL80" s="110">
        <f>COUNTIF(D80:AG80,"ast")</f>
        <v>0</v>
      </c>
      <c r="AM80" s="111">
        <f>COUNTIF(D80:AG80,"cA")</f>
        <v>0</v>
      </c>
      <c r="AN80" s="112">
        <f>COUNTIF(D80:AG80,"rtt")</f>
        <v>0</v>
      </c>
      <c r="AO80" s="113">
        <f>COUNTIF(D80:AG80,"cex")</f>
        <v>0</v>
      </c>
      <c r="AP80" s="114">
        <f>COUNTIF(D80:AG80,"res")</f>
        <v>0</v>
      </c>
      <c r="AQ80" s="115">
        <f>COUNTIF(D80:AG80,"mA")</f>
        <v>0</v>
      </c>
      <c r="AR80" s="116">
        <f>COUNTIF(D80:AG80,"at")</f>
        <v>0</v>
      </c>
      <c r="AS80" s="117">
        <f>COUNTIF(D80:AG80,"TAD")</f>
        <v>0</v>
      </c>
      <c r="AT80" s="118">
        <f>COUNTIF(D80:AG80,"TP")</f>
        <v>0</v>
      </c>
    </row>
    <row r="82" spans="4:33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</row>
    <row r="83" spans="4:33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</row>
    <row r="84" spans="4:33" ht="15" customHeight="1" thickBot="1" x14ac:dyDescent="0.25">
      <c r="D84" s="101">
        <f>COUNTIF(D11:AG36,"p")</f>
        <v>0</v>
      </c>
      <c r="E84" s="102">
        <f>COUNTIF(D11:AG36,"AH")</f>
        <v>0</v>
      </c>
      <c r="F84" s="102">
        <f>COUNTIF(D11:AG36,"PC")</f>
        <v>6</v>
      </c>
      <c r="G84" s="102">
        <f>COUNTIF(D11:AG36,"f")</f>
        <v>0</v>
      </c>
      <c r="H84" s="102">
        <f>COUNTIF(D11:AG36,"ast")</f>
        <v>5</v>
      </c>
      <c r="I84" s="102">
        <f>COUNTIF(D11:AG36,"ca")</f>
        <v>0</v>
      </c>
      <c r="J84" s="102">
        <f>COUNTIF(D11:AG36,"rtt")</f>
        <v>0</v>
      </c>
      <c r="K84" s="102">
        <f>COUNTIF(D11:AG36,"CEX")</f>
        <v>0</v>
      </c>
      <c r="L84" s="102">
        <f>COUNTIF(D11:AG36,"RES")</f>
        <v>0</v>
      </c>
      <c r="M84" s="102">
        <f>COUNTIF(D11:AG36,"MA")</f>
        <v>0</v>
      </c>
      <c r="N84" s="102">
        <f>COUNTIF(D11:AG36,"AT")</f>
        <v>0</v>
      </c>
      <c r="O84" s="102">
        <f>COUNTIF(D11:AG36,"TAD")</f>
        <v>0</v>
      </c>
      <c r="P84" s="103">
        <f>COUNTIF(D11:AG36,"TP")</f>
        <v>0</v>
      </c>
      <c r="W84" s="104">
        <f>COUNTIF(D50:AG59,"p")</f>
        <v>0</v>
      </c>
      <c r="X84" s="105">
        <f>COUNTIF(D50:AG59,"AH")</f>
        <v>0</v>
      </c>
      <c r="Y84" s="105">
        <f>COUNTIF(D50:AG59,"PC")</f>
        <v>9</v>
      </c>
      <c r="Z84" s="105">
        <f>COUNTIF(D50:AG59,"f")</f>
        <v>0</v>
      </c>
      <c r="AA84" s="105">
        <f>COUNTIF(D50:AG59,"ast")</f>
        <v>0</v>
      </c>
      <c r="AB84" s="105">
        <f>COUNTIF(D50:AG59,"ca")</f>
        <v>0</v>
      </c>
      <c r="AC84" s="105">
        <f>COUNTIF(D50:AG59,"rtt")</f>
        <v>0</v>
      </c>
      <c r="AD84" s="105">
        <f>COUNTIF(D50:AG59,"CEX")</f>
        <v>0</v>
      </c>
      <c r="AE84" s="105">
        <f>COUNTIF(D50:AG59,"RES")</f>
        <v>0</v>
      </c>
      <c r="AF84" s="105">
        <f>COUNTIF(D50:AG59,"MA")</f>
        <v>0</v>
      </c>
      <c r="AG84" s="105">
        <f>COUNTIF(D50:AG59,"AT")</f>
        <v>0</v>
      </c>
    </row>
    <row r="104" spans="4:33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</row>
    <row r="105" spans="4:33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</row>
    <row r="106" spans="4:33" ht="15" customHeight="1" thickBot="1" x14ac:dyDescent="0.25">
      <c r="D106" s="104">
        <f>COUNTIF(D62:AG72,"p")</f>
        <v>0</v>
      </c>
      <c r="E106" s="105">
        <f>COUNTIF(D62:AG72,"AH")</f>
        <v>0</v>
      </c>
      <c r="F106" s="105">
        <f>COUNTIF(D62:AG72,"PC")</f>
        <v>0</v>
      </c>
      <c r="G106" s="105">
        <f>COUNTIF(D62:AG72,"f")</f>
        <v>8</v>
      </c>
      <c r="H106" s="105">
        <f>COUNTIF(D62:AG72,"ast")</f>
        <v>0</v>
      </c>
      <c r="I106" s="105">
        <f>COUNTIF(D62:AG72,"ca")</f>
        <v>0</v>
      </c>
      <c r="J106" s="105">
        <f>COUNTIF(D62:AG72,"rtt")</f>
        <v>0</v>
      </c>
      <c r="K106" s="105">
        <f>COUNTIF(D62:AG72,"CEX")</f>
        <v>0</v>
      </c>
      <c r="L106" s="105">
        <f>COUNTIF(D62:AG72,"RES")</f>
        <v>0</v>
      </c>
      <c r="M106" s="105">
        <f>COUNTIF(D62:AG72,"MA")</f>
        <v>0</v>
      </c>
      <c r="N106" s="105">
        <f>COUNTIF(D62:AG72,"AT")</f>
        <v>0</v>
      </c>
      <c r="O106" s="106">
        <f>COUNTIF(D62:AG72,"TP")</f>
        <v>0</v>
      </c>
      <c r="W106" s="104">
        <f>COUNTIF(D76:AG80,"p")</f>
        <v>0</v>
      </c>
      <c r="X106" s="105">
        <f>COUNTIF(D76:AG80,"AH")</f>
        <v>0</v>
      </c>
      <c r="Y106" s="105">
        <f>COUNTIF(D76:AG80,"PC")</f>
        <v>0</v>
      </c>
      <c r="Z106" s="105">
        <f>COUNTIF(D76:AG80,"f")</f>
        <v>0</v>
      </c>
      <c r="AA106" s="105">
        <f>COUNTIF(D76:AG80,"ast")</f>
        <v>0</v>
      </c>
      <c r="AB106" s="105">
        <f>COUNTIF(D76:AG80,"ca")</f>
        <v>0</v>
      </c>
      <c r="AC106" s="105">
        <f>COUNTIF(D76:AG80,"rtt")</f>
        <v>0</v>
      </c>
      <c r="AD106" s="105">
        <f>COUNTIF(D76:AG80,"CEX")</f>
        <v>0</v>
      </c>
      <c r="AE106" s="105">
        <f>COUNTIF(D76:AG80,"RES")</f>
        <v>0</v>
      </c>
      <c r="AF106" s="105">
        <f>COUNTIF(D76:AG80,"MA")</f>
        <v>0</v>
      </c>
      <c r="AG106" s="105">
        <f>COUNTIF(D76:AG80,"AT")</f>
        <v>0</v>
      </c>
    </row>
  </sheetData>
  <mergeCells count="14">
    <mergeCell ref="AL5:AL9"/>
    <mergeCell ref="D5:AG7"/>
    <mergeCell ref="AH5:AH9"/>
    <mergeCell ref="AI5:AI9"/>
    <mergeCell ref="AJ5:AJ9"/>
    <mergeCell ref="AK5:AK9"/>
    <mergeCell ref="AS5:AS9"/>
    <mergeCell ref="AT5:AT9"/>
    <mergeCell ref="AM5:AM9"/>
    <mergeCell ref="AN5:AN9"/>
    <mergeCell ref="AO5:AO9"/>
    <mergeCell ref="AP5:AP9"/>
    <mergeCell ref="AQ5:AQ9"/>
    <mergeCell ref="AR5:AR9"/>
  </mergeCells>
  <conditionalFormatting sqref="D12:AG12 D14:AG14 D17:AG17 D19:AG19 D21:AG21 D23:AG24 D26:AG29 D31:AG31 D33:AG34 D36:AG48 D62:AG72 D76:AG77 D79:AG80 D50:AG59">
    <cfRule type="containsText" dxfId="191" priority="3" operator="containsText" text="AH">
      <formula>NOT(ISERROR(SEARCH("AH",D12)))</formula>
    </cfRule>
    <cfRule type="containsText" dxfId="190" priority="4" operator="containsText" text="TP">
      <formula>NOT(ISERROR(SEARCH("TP",D12)))</formula>
    </cfRule>
    <cfRule type="containsText" dxfId="189" priority="5" operator="containsText" text="TAD">
      <formula>NOT(ISERROR(SEARCH("TAD",D12)))</formula>
    </cfRule>
    <cfRule type="containsText" dxfId="188" priority="6" operator="containsText" text="AT">
      <formula>NOT(ISERROR(SEARCH("AT",D12)))</formula>
    </cfRule>
    <cfRule type="containsText" dxfId="187" priority="7" operator="containsText" text="MA">
      <formula>NOT(ISERROR(SEARCH("MA",D12)))</formula>
    </cfRule>
    <cfRule type="containsText" dxfId="186" priority="8" operator="containsText" text="RES">
      <formula>NOT(ISERROR(SEARCH("RES",D12)))</formula>
    </cfRule>
    <cfRule type="containsText" dxfId="185" priority="9" operator="containsText" text="CEX">
      <formula>NOT(ISERROR(SEARCH("CEX",D12)))</formula>
    </cfRule>
    <cfRule type="containsText" dxfId="184" priority="10" operator="containsText" text="RTT">
      <formula>NOT(ISERROR(SEARCH("RTT",D12)))</formula>
    </cfRule>
    <cfRule type="beginsWith" dxfId="183" priority="11" operator="beginsWith" text="CA">
      <formula>LEFT(D12,LEN("CA"))="CA"</formula>
    </cfRule>
    <cfRule type="containsText" dxfId="182" priority="12" operator="containsText" text="AST">
      <formula>NOT(ISERROR(SEARCH("AST",D12)))</formula>
    </cfRule>
    <cfRule type="containsText" dxfId="181" priority="13" operator="containsText" text="F">
      <formula>NOT(ISERROR(SEARCH("F",D12)))</formula>
    </cfRule>
    <cfRule type="containsText" dxfId="180" priority="14" operator="containsText" text="PC">
      <formula>NOT(ISERROR(SEARCH("PC",D12)))</formula>
    </cfRule>
    <cfRule type="containsText" dxfId="179" priority="15" operator="containsText" text="P">
      <formula>NOT(ISERROR(SEARCH("P",D12)))</formula>
    </cfRule>
  </conditionalFormatting>
  <conditionalFormatting sqref="D9:AG10 D12:AG12 D14:AG14 D17:AG17 D19:AG19 D21:AG21 D23:AG24 D26:AG29 D31:AG31 D33:AG34 D36:AG37 D40:AG40 D42:AG42 D44:AG45 D47:AG48 D62:AG74 D76:AG77 D79:AG80 D50:AG60">
    <cfRule type="expression" dxfId="178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77" priority="2">
      <formula>OR(D$9=1,D$9=7)</formula>
    </cfRule>
  </conditionalFormatting>
  <dataValidations count="1">
    <dataValidation type="list" showInputMessage="1" showErrorMessage="1" sqref="D12:AG12 D79:AG80 D76:AG77 D62:AG72 D14:AG14 D36:AG48 D33:AG34 D31:AG31 D26:AG29 D23:AG24 D21:AG21 D17:AG19 D50:AG59" xr:uid="{F41F7136-70B9-427E-B4B4-6E453AA4908A}">
      <formula1>$AH$10:$AT$10</formula1>
    </dataValidation>
  </dataValidations>
  <pageMargins left="0.7" right="0.7" top="0.75" bottom="0.75" header="0.3" footer="0.3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F71ED-7255-4C4C-A386-306A4054135B}">
  <sheetPr codeName="Feuil22">
    <outlinePr summaryRight="0"/>
  </sheetPr>
  <dimension ref="A1:AU106"/>
  <sheetViews>
    <sheetView zoomScaleNormal="100" workbookViewId="0">
      <pane ySplit="10" topLeftCell="A71" activePane="bottomLeft" state="frozen"/>
      <selection activeCell="B1" sqref="B1"/>
      <selection pane="bottomLeft" activeCell="U14" sqref="U14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Menu!D26</f>
        <v>46143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Menu!E26</f>
        <v>46173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46143</v>
      </c>
      <c r="E4" s="55">
        <f t="shared" ref="E4:AH4" si="0">D4+1</f>
        <v>46144</v>
      </c>
      <c r="F4" s="55">
        <f t="shared" si="0"/>
        <v>46145</v>
      </c>
      <c r="G4" s="55">
        <f t="shared" si="0"/>
        <v>46146</v>
      </c>
      <c r="H4" s="55">
        <f t="shared" si="0"/>
        <v>46147</v>
      </c>
      <c r="I4" s="55">
        <f t="shared" si="0"/>
        <v>46148</v>
      </c>
      <c r="J4" s="55">
        <f t="shared" si="0"/>
        <v>46149</v>
      </c>
      <c r="K4" s="55">
        <f t="shared" si="0"/>
        <v>46150</v>
      </c>
      <c r="L4" s="55">
        <f t="shared" si="0"/>
        <v>46151</v>
      </c>
      <c r="M4" s="55">
        <f t="shared" si="0"/>
        <v>46152</v>
      </c>
      <c r="N4" s="55">
        <f t="shared" si="0"/>
        <v>46153</v>
      </c>
      <c r="O4" s="55">
        <f t="shared" si="0"/>
        <v>46154</v>
      </c>
      <c r="P4" s="55">
        <f t="shared" si="0"/>
        <v>46155</v>
      </c>
      <c r="Q4" s="55">
        <f t="shared" si="0"/>
        <v>46156</v>
      </c>
      <c r="R4" s="55">
        <f t="shared" si="0"/>
        <v>46157</v>
      </c>
      <c r="S4" s="55">
        <f t="shared" si="0"/>
        <v>46158</v>
      </c>
      <c r="T4" s="55">
        <f t="shared" si="0"/>
        <v>46159</v>
      </c>
      <c r="U4" s="55">
        <f t="shared" si="0"/>
        <v>46160</v>
      </c>
      <c r="V4" s="55">
        <f t="shared" si="0"/>
        <v>46161</v>
      </c>
      <c r="W4" s="55">
        <f t="shared" si="0"/>
        <v>46162</v>
      </c>
      <c r="X4" s="55">
        <f t="shared" si="0"/>
        <v>46163</v>
      </c>
      <c r="Y4" s="55">
        <f t="shared" si="0"/>
        <v>46164</v>
      </c>
      <c r="Z4" s="55">
        <f t="shared" si="0"/>
        <v>46165</v>
      </c>
      <c r="AA4" s="55">
        <f t="shared" si="0"/>
        <v>46166</v>
      </c>
      <c r="AB4" s="55">
        <f t="shared" si="0"/>
        <v>46167</v>
      </c>
      <c r="AC4" s="55">
        <f t="shared" si="0"/>
        <v>46168</v>
      </c>
      <c r="AD4" s="55">
        <f t="shared" si="0"/>
        <v>46169</v>
      </c>
      <c r="AE4" s="55">
        <f t="shared" si="0"/>
        <v>46170</v>
      </c>
      <c r="AF4" s="55">
        <f t="shared" si="0"/>
        <v>46171</v>
      </c>
      <c r="AG4" s="55">
        <f t="shared" si="0"/>
        <v>46172</v>
      </c>
      <c r="AH4" s="55">
        <f t="shared" si="0"/>
        <v>46173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mai-2026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6</v>
      </c>
      <c r="E9" s="74">
        <f t="shared" si="1"/>
        <v>7</v>
      </c>
      <c r="F9" s="74">
        <f t="shared" si="1"/>
        <v>1</v>
      </c>
      <c r="G9" s="74">
        <f t="shared" si="1"/>
        <v>2</v>
      </c>
      <c r="H9" s="74">
        <f t="shared" si="1"/>
        <v>3</v>
      </c>
      <c r="I9" s="74">
        <f t="shared" si="1"/>
        <v>4</v>
      </c>
      <c r="J9" s="74">
        <f t="shared" si="1"/>
        <v>5</v>
      </c>
      <c r="K9" s="74">
        <f t="shared" si="1"/>
        <v>6</v>
      </c>
      <c r="L9" s="74">
        <f t="shared" si="1"/>
        <v>7</v>
      </c>
      <c r="M9" s="74">
        <f t="shared" si="1"/>
        <v>1</v>
      </c>
      <c r="N9" s="74">
        <f t="shared" si="1"/>
        <v>2</v>
      </c>
      <c r="O9" s="74">
        <f t="shared" si="1"/>
        <v>3</v>
      </c>
      <c r="P9" s="74">
        <f t="shared" si="1"/>
        <v>4</v>
      </c>
      <c r="Q9" s="74">
        <f t="shared" si="1"/>
        <v>5</v>
      </c>
      <c r="R9" s="74">
        <f t="shared" si="1"/>
        <v>6</v>
      </c>
      <c r="S9" s="74">
        <f t="shared" si="1"/>
        <v>7</v>
      </c>
      <c r="T9" s="74">
        <f t="shared" si="1"/>
        <v>1</v>
      </c>
      <c r="U9" s="74">
        <f t="shared" si="1"/>
        <v>2</v>
      </c>
      <c r="V9" s="74">
        <f t="shared" si="1"/>
        <v>3</v>
      </c>
      <c r="W9" s="74">
        <f t="shared" si="1"/>
        <v>4</v>
      </c>
      <c r="X9" s="74">
        <f t="shared" si="1"/>
        <v>5</v>
      </c>
      <c r="Y9" s="74">
        <f t="shared" si="1"/>
        <v>6</v>
      </c>
      <c r="Z9" s="74">
        <f t="shared" si="1"/>
        <v>7</v>
      </c>
      <c r="AA9" s="74">
        <f t="shared" si="1"/>
        <v>1</v>
      </c>
      <c r="AB9" s="74">
        <f t="shared" si="1"/>
        <v>2</v>
      </c>
      <c r="AC9" s="74">
        <f t="shared" si="1"/>
        <v>3</v>
      </c>
      <c r="AD9" s="74">
        <f t="shared" si="1"/>
        <v>4</v>
      </c>
      <c r="AE9" s="74">
        <f t="shared" si="1"/>
        <v>5</v>
      </c>
      <c r="AF9" s="74">
        <f t="shared" si="1"/>
        <v>6</v>
      </c>
      <c r="AG9" s="74">
        <f t="shared" si="1"/>
        <v>7</v>
      </c>
      <c r="AH9" s="179">
        <f t="shared" si="1"/>
        <v>1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 t="s">
        <v>236</v>
      </c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1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 t="s">
        <v>233</v>
      </c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1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 t="s">
        <v>233</v>
      </c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1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 t="s">
        <v>233</v>
      </c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1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 t="s">
        <v>234</v>
      </c>
      <c r="O70" s="75" t="s">
        <v>234</v>
      </c>
      <c r="P70" s="75" t="s">
        <v>234</v>
      </c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3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1</v>
      </c>
      <c r="G84" s="102">
        <f>COUNTIF(D11:AH36,"f")</f>
        <v>0</v>
      </c>
      <c r="H84" s="102">
        <f>COUNTIF(D11:AH36,"ast")</f>
        <v>0</v>
      </c>
      <c r="I84" s="102">
        <f>COUNTIF(D11:AH36,"ca")</f>
        <v>1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2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3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1:AH21 D23:AH24 D26:AH29 D31:AH31 D33:AH34 D36:AH48 D50:AH59 D62:AH72 D76:AH77 D79:AH80">
    <cfRule type="containsText" dxfId="176" priority="3" operator="containsText" text="AH">
      <formula>NOT(ISERROR(SEARCH("AH",D12)))</formula>
    </cfRule>
    <cfRule type="containsText" dxfId="175" priority="4" operator="containsText" text="TP">
      <formula>NOT(ISERROR(SEARCH("TP",D12)))</formula>
    </cfRule>
    <cfRule type="containsText" dxfId="174" priority="5" operator="containsText" text="TAD">
      <formula>NOT(ISERROR(SEARCH("TAD",D12)))</formula>
    </cfRule>
    <cfRule type="containsText" dxfId="173" priority="6" operator="containsText" text="AT">
      <formula>NOT(ISERROR(SEARCH("AT",D12)))</formula>
    </cfRule>
    <cfRule type="containsText" dxfId="172" priority="7" operator="containsText" text="MA">
      <formula>NOT(ISERROR(SEARCH("MA",D12)))</formula>
    </cfRule>
    <cfRule type="containsText" dxfId="171" priority="8" operator="containsText" text="RES">
      <formula>NOT(ISERROR(SEARCH("RES",D12)))</formula>
    </cfRule>
    <cfRule type="containsText" dxfId="170" priority="9" operator="containsText" text="CEX">
      <formula>NOT(ISERROR(SEARCH("CEX",D12)))</formula>
    </cfRule>
    <cfRule type="containsText" dxfId="169" priority="10" operator="containsText" text="RTT">
      <formula>NOT(ISERROR(SEARCH("RTT",D12)))</formula>
    </cfRule>
    <cfRule type="beginsWith" dxfId="168" priority="11" operator="beginsWith" text="CA">
      <formula>LEFT(D12,LEN("CA"))="CA"</formula>
    </cfRule>
    <cfRule type="containsText" dxfId="167" priority="12" operator="containsText" text="AST">
      <formula>NOT(ISERROR(SEARCH("AST",D12)))</formula>
    </cfRule>
    <cfRule type="containsText" dxfId="166" priority="13" operator="containsText" text="F">
      <formula>NOT(ISERROR(SEARCH("F",D12)))</formula>
    </cfRule>
    <cfRule type="containsText" dxfId="165" priority="14" operator="containsText" text="PC">
      <formula>NOT(ISERROR(SEARCH("PC",D12)))</formula>
    </cfRule>
    <cfRule type="containsText" dxfId="164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16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62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5B71AF26-FD04-4751-8B21-2A8BF61AE18C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7A16-FCA4-4869-8CAA-F57302BD9FA2}">
  <sheetPr codeName="Feuil23">
    <outlinePr summaryRight="0"/>
  </sheetPr>
  <dimension ref="A1:AT106"/>
  <sheetViews>
    <sheetView zoomScaleNormal="100" workbookViewId="0">
      <pane ySplit="10" topLeftCell="A65" activePane="bottomLeft" state="frozen"/>
      <selection activeCell="B1" sqref="B1"/>
      <selection pane="bottomLeft" activeCell="R70" sqref="R70:V70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3" width="4.7109375" style="3" customWidth="1"/>
    <col min="34" max="46" width="3.7109375" style="180" customWidth="1"/>
    <col min="47" max="47" width="17.42578125" style="3" customWidth="1"/>
    <col min="48" max="16384" width="17.42578125" style="3"/>
  </cols>
  <sheetData>
    <row r="1" spans="1:46" ht="15" customHeight="1" x14ac:dyDescent="0.2">
      <c r="A1" s="49">
        <f>Menu!D27</f>
        <v>46174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</row>
    <row r="2" spans="1:46" x14ac:dyDescent="0.2">
      <c r="A2" s="49">
        <f>Menu!E27</f>
        <v>46203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</row>
    <row r="3" spans="1:46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</row>
    <row r="4" spans="1:46" ht="12.75" hidden="1" customHeight="1" x14ac:dyDescent="0.2">
      <c r="A4" s="49"/>
      <c r="C4" s="51"/>
      <c r="D4" s="55">
        <f>A1</f>
        <v>46174</v>
      </c>
      <c r="E4" s="55">
        <f t="shared" ref="E4:AG4" si="0">D4+1</f>
        <v>46175</v>
      </c>
      <c r="F4" s="55">
        <f t="shared" si="0"/>
        <v>46176</v>
      </c>
      <c r="G4" s="55">
        <f t="shared" si="0"/>
        <v>46177</v>
      </c>
      <c r="H4" s="55">
        <f t="shared" si="0"/>
        <v>46178</v>
      </c>
      <c r="I4" s="55">
        <f t="shared" si="0"/>
        <v>46179</v>
      </c>
      <c r="J4" s="55">
        <f t="shared" si="0"/>
        <v>46180</v>
      </c>
      <c r="K4" s="55">
        <f t="shared" si="0"/>
        <v>46181</v>
      </c>
      <c r="L4" s="55">
        <f t="shared" si="0"/>
        <v>46182</v>
      </c>
      <c r="M4" s="55">
        <f t="shared" si="0"/>
        <v>46183</v>
      </c>
      <c r="N4" s="55">
        <f t="shared" si="0"/>
        <v>46184</v>
      </c>
      <c r="O4" s="55">
        <f t="shared" si="0"/>
        <v>46185</v>
      </c>
      <c r="P4" s="55">
        <f t="shared" si="0"/>
        <v>46186</v>
      </c>
      <c r="Q4" s="55">
        <f t="shared" si="0"/>
        <v>46187</v>
      </c>
      <c r="R4" s="55">
        <f t="shared" si="0"/>
        <v>46188</v>
      </c>
      <c r="S4" s="55">
        <f t="shared" si="0"/>
        <v>46189</v>
      </c>
      <c r="T4" s="55">
        <f t="shared" si="0"/>
        <v>46190</v>
      </c>
      <c r="U4" s="55">
        <f t="shared" si="0"/>
        <v>46191</v>
      </c>
      <c r="V4" s="55">
        <f t="shared" si="0"/>
        <v>46192</v>
      </c>
      <c r="W4" s="55">
        <f t="shared" si="0"/>
        <v>46193</v>
      </c>
      <c r="X4" s="55">
        <f t="shared" si="0"/>
        <v>46194</v>
      </c>
      <c r="Y4" s="55">
        <f t="shared" si="0"/>
        <v>46195</v>
      </c>
      <c r="Z4" s="55">
        <f t="shared" si="0"/>
        <v>46196</v>
      </c>
      <c r="AA4" s="55">
        <f t="shared" si="0"/>
        <v>46197</v>
      </c>
      <c r="AB4" s="55">
        <f t="shared" si="0"/>
        <v>46198</v>
      </c>
      <c r="AC4" s="55">
        <f t="shared" si="0"/>
        <v>46199</v>
      </c>
      <c r="AD4" s="55">
        <f t="shared" si="0"/>
        <v>46200</v>
      </c>
      <c r="AE4" s="55">
        <f t="shared" si="0"/>
        <v>46201</v>
      </c>
      <c r="AF4" s="55">
        <f t="shared" si="0"/>
        <v>46202</v>
      </c>
      <c r="AG4" s="55">
        <f t="shared" si="0"/>
        <v>46203</v>
      </c>
    </row>
    <row r="5" spans="1:46" s="81" customFormat="1" ht="20.100000000000001" customHeight="1" x14ac:dyDescent="0.2">
      <c r="A5" s="178"/>
      <c r="B5" s="178"/>
      <c r="C5" s="178"/>
      <c r="D5" s="358" t="str">
        <f>TEXT(A1,"mmmm-aaaa")</f>
        <v>juin-2026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63" t="s">
        <v>218</v>
      </c>
      <c r="AI5" s="363" t="s">
        <v>219</v>
      </c>
      <c r="AJ5" s="362" t="s">
        <v>220</v>
      </c>
      <c r="AK5" s="364" t="s">
        <v>221</v>
      </c>
      <c r="AL5" s="365" t="s">
        <v>222</v>
      </c>
      <c r="AM5" s="370" t="s">
        <v>223</v>
      </c>
      <c r="AN5" s="367" t="s">
        <v>224</v>
      </c>
      <c r="AO5" s="366" t="s">
        <v>225</v>
      </c>
      <c r="AP5" s="360" t="s">
        <v>226</v>
      </c>
      <c r="AQ5" s="355" t="s">
        <v>227</v>
      </c>
      <c r="AR5" s="368" t="s">
        <v>228</v>
      </c>
      <c r="AS5" s="369" t="s">
        <v>229</v>
      </c>
      <c r="AT5" s="361" t="s">
        <v>230</v>
      </c>
    </row>
    <row r="6" spans="1:46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6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</row>
    <row r="7" spans="1:46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6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</row>
    <row r="8" spans="1:46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356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</row>
    <row r="9" spans="1:46" ht="15" customHeight="1" x14ac:dyDescent="0.2">
      <c r="A9" s="61"/>
      <c r="B9" s="62"/>
      <c r="C9" s="61"/>
      <c r="D9" s="74">
        <f t="shared" ref="D9:AG9" si="1">IFERROR(WEEKDAY(D4),"")</f>
        <v>2</v>
      </c>
      <c r="E9" s="74">
        <f t="shared" si="1"/>
        <v>3</v>
      </c>
      <c r="F9" s="74">
        <f t="shared" si="1"/>
        <v>4</v>
      </c>
      <c r="G9" s="74">
        <f t="shared" si="1"/>
        <v>5</v>
      </c>
      <c r="H9" s="74">
        <f t="shared" si="1"/>
        <v>6</v>
      </c>
      <c r="I9" s="74">
        <f t="shared" si="1"/>
        <v>7</v>
      </c>
      <c r="J9" s="74">
        <f t="shared" si="1"/>
        <v>1</v>
      </c>
      <c r="K9" s="74">
        <f t="shared" si="1"/>
        <v>2</v>
      </c>
      <c r="L9" s="74">
        <f t="shared" si="1"/>
        <v>3</v>
      </c>
      <c r="M9" s="74">
        <f t="shared" si="1"/>
        <v>4</v>
      </c>
      <c r="N9" s="74">
        <f t="shared" si="1"/>
        <v>5</v>
      </c>
      <c r="O9" s="74">
        <f t="shared" si="1"/>
        <v>6</v>
      </c>
      <c r="P9" s="74">
        <f t="shared" si="1"/>
        <v>7</v>
      </c>
      <c r="Q9" s="74">
        <f t="shared" si="1"/>
        <v>1</v>
      </c>
      <c r="R9" s="74">
        <f t="shared" si="1"/>
        <v>2</v>
      </c>
      <c r="S9" s="74">
        <f t="shared" si="1"/>
        <v>3</v>
      </c>
      <c r="T9" s="74">
        <f t="shared" si="1"/>
        <v>4</v>
      </c>
      <c r="U9" s="74">
        <f t="shared" si="1"/>
        <v>5</v>
      </c>
      <c r="V9" s="74">
        <f t="shared" si="1"/>
        <v>6</v>
      </c>
      <c r="W9" s="74">
        <f t="shared" si="1"/>
        <v>7</v>
      </c>
      <c r="X9" s="74">
        <f t="shared" si="1"/>
        <v>1</v>
      </c>
      <c r="Y9" s="74">
        <f t="shared" si="1"/>
        <v>2</v>
      </c>
      <c r="Z9" s="74">
        <f t="shared" si="1"/>
        <v>3</v>
      </c>
      <c r="AA9" s="74">
        <f t="shared" si="1"/>
        <v>4</v>
      </c>
      <c r="AB9" s="74">
        <f t="shared" si="1"/>
        <v>5</v>
      </c>
      <c r="AC9" s="74">
        <f t="shared" si="1"/>
        <v>6</v>
      </c>
      <c r="AD9" s="74">
        <f t="shared" si="1"/>
        <v>7</v>
      </c>
      <c r="AE9" s="74">
        <f t="shared" si="1"/>
        <v>1</v>
      </c>
      <c r="AF9" s="74">
        <f t="shared" si="1"/>
        <v>2</v>
      </c>
      <c r="AG9" s="74">
        <f t="shared" si="1"/>
        <v>3</v>
      </c>
      <c r="AH9" s="357"/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</row>
    <row r="10" spans="1:46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G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107" t="s">
        <v>231</v>
      </c>
      <c r="AI10" s="107" t="s">
        <v>232</v>
      </c>
      <c r="AJ10" s="108" t="s">
        <v>233</v>
      </c>
      <c r="AK10" s="109" t="s">
        <v>234</v>
      </c>
      <c r="AL10" s="110" t="s">
        <v>235</v>
      </c>
      <c r="AM10" s="111" t="s">
        <v>236</v>
      </c>
      <c r="AN10" s="112" t="s">
        <v>224</v>
      </c>
      <c r="AO10" s="113" t="s">
        <v>237</v>
      </c>
      <c r="AP10" s="114" t="s">
        <v>238</v>
      </c>
      <c r="AQ10" s="115" t="s">
        <v>239</v>
      </c>
      <c r="AR10" s="116" t="s">
        <v>240</v>
      </c>
      <c r="AS10" s="117" t="s">
        <v>241</v>
      </c>
      <c r="AT10" s="118" t="s">
        <v>242</v>
      </c>
    </row>
    <row r="11" spans="1:46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2"/>
    </row>
    <row r="12" spans="1:46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183">
        <f>COUNTIF(D12:AG12,"p")</f>
        <v>0</v>
      </c>
      <c r="AI12" s="183">
        <f>COUNTIF(D12:AG12,"AH")</f>
        <v>0</v>
      </c>
      <c r="AJ12" s="184">
        <f>COUNTIF(D12:AG12,"PC")</f>
        <v>0</v>
      </c>
      <c r="AK12" s="185">
        <f>COUNTIF(D12:AG12,"f")</f>
        <v>0</v>
      </c>
      <c r="AL12" s="186">
        <f>COUNTIF(D12:AG12,"ast")</f>
        <v>0</v>
      </c>
      <c r="AM12" s="187">
        <f>COUNTIF(D12:AG12,"cA")</f>
        <v>0</v>
      </c>
      <c r="AN12" s="188">
        <f>COUNTIF(D12:AG12,"rtt")</f>
        <v>0</v>
      </c>
      <c r="AO12" s="189">
        <f>COUNTIF(D12:AG12,"cex")</f>
        <v>0</v>
      </c>
      <c r="AP12" s="190">
        <f>COUNTIF(D12:AG12,"res")</f>
        <v>0</v>
      </c>
      <c r="AQ12" s="191">
        <f>COUNTIF(D12:AG12,"mA")</f>
        <v>0</v>
      </c>
      <c r="AR12" s="192">
        <f>COUNTIF(D12:AG12,"at")</f>
        <v>0</v>
      </c>
      <c r="AS12" s="193">
        <f>COUNTIF(D12:AG12,"TAD")</f>
        <v>0</v>
      </c>
      <c r="AT12" s="194">
        <f>COUNTIF(D12:AG12,"TP")</f>
        <v>0</v>
      </c>
    </row>
    <row r="13" spans="1:46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6"/>
    </row>
    <row r="14" spans="1:46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183">
        <f>COUNTIF(D14:AG14,"p")</f>
        <v>0</v>
      </c>
      <c r="AI14" s="183">
        <f>COUNTIF(D14:AG14,"AH")</f>
        <v>0</v>
      </c>
      <c r="AJ14" s="184">
        <f>COUNTIF(D14:AG14,"PC")</f>
        <v>0</v>
      </c>
      <c r="AK14" s="185">
        <f>COUNTIF(D14:AG14,"f")</f>
        <v>0</v>
      </c>
      <c r="AL14" s="186">
        <f>COUNTIF(D14:AG14,"ast")</f>
        <v>0</v>
      </c>
      <c r="AM14" s="187">
        <f>COUNTIF(D14:AG14,"cA")</f>
        <v>0</v>
      </c>
      <c r="AN14" s="188">
        <f>COUNTIF(D14:AG14,"rtt")</f>
        <v>0</v>
      </c>
      <c r="AO14" s="189">
        <f>COUNTIF(D14:AG14,"cex")</f>
        <v>0</v>
      </c>
      <c r="AP14" s="190">
        <f>COUNTIF(D14:AG14,"res")</f>
        <v>0</v>
      </c>
      <c r="AQ14" s="191">
        <f>COUNTIF(D14:AG14,"mA")</f>
        <v>0</v>
      </c>
      <c r="AR14" s="192">
        <f>COUNTIF(D14:AG14,"at")</f>
        <v>0</v>
      </c>
      <c r="AS14" s="193">
        <f>COUNTIF(D14:AG14,"TAD")</f>
        <v>0</v>
      </c>
      <c r="AT14" s="194">
        <f>COUNTIF(D14:AG14,"TP")</f>
        <v>0</v>
      </c>
    </row>
    <row r="15" spans="1:46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6"/>
    </row>
    <row r="16" spans="1:46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1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2"/>
    </row>
    <row r="17" spans="1:46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183">
        <f>COUNTIF(D17:AG17,"p")</f>
        <v>0</v>
      </c>
      <c r="AI17" s="183">
        <f>COUNTIF(D17:AG17,"AH")</f>
        <v>0</v>
      </c>
      <c r="AJ17" s="184">
        <f>COUNTIF(D17:AG17,"PC")</f>
        <v>0</v>
      </c>
      <c r="AK17" s="185">
        <f>COUNTIF(D17:AG17,"f")</f>
        <v>0</v>
      </c>
      <c r="AL17" s="186">
        <f>COUNTIF(D17:AG17,"ast")</f>
        <v>0</v>
      </c>
      <c r="AM17" s="187">
        <f>COUNTIF(D17:AG17,"cA")</f>
        <v>0</v>
      </c>
      <c r="AN17" s="188">
        <f>COUNTIF(D17:AG17,"rtt")</f>
        <v>0</v>
      </c>
      <c r="AO17" s="189">
        <f>COUNTIF(D17:AG17,"cex")</f>
        <v>0</v>
      </c>
      <c r="AP17" s="190">
        <f>COUNTIF(D17:AG17,"res")</f>
        <v>0</v>
      </c>
      <c r="AQ17" s="191">
        <f>COUNTIF(D17:AG17,"mA")</f>
        <v>0</v>
      </c>
      <c r="AR17" s="192">
        <f>COUNTIF(D17:AG17,"at")</f>
        <v>0</v>
      </c>
      <c r="AS17" s="193">
        <f>COUNTIF(D17:AG17,"TAD")</f>
        <v>0</v>
      </c>
      <c r="AT17" s="194">
        <f>COUNTIF(D17:AG17,"TP")</f>
        <v>0</v>
      </c>
    </row>
    <row r="18" spans="1:46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8"/>
    </row>
    <row r="19" spans="1:46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 t="s">
        <v>233</v>
      </c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183">
        <f>COUNTIF(D19:AG19,"p")</f>
        <v>0</v>
      </c>
      <c r="AI19" s="183">
        <f>COUNTIF(D19:AG19,"AH")</f>
        <v>0</v>
      </c>
      <c r="AJ19" s="184">
        <f>COUNTIF(D19:AG19,"PC")</f>
        <v>1</v>
      </c>
      <c r="AK19" s="185">
        <f>COUNTIF(D19:AG19,"f")</f>
        <v>0</v>
      </c>
      <c r="AL19" s="186">
        <f>COUNTIF(D19:AG19,"ast")</f>
        <v>0</v>
      </c>
      <c r="AM19" s="187">
        <f>COUNTIF(D19:AG19,"cA")</f>
        <v>0</v>
      </c>
      <c r="AN19" s="188">
        <f>COUNTIF(D19:AG19,"rtt")</f>
        <v>0</v>
      </c>
      <c r="AO19" s="189">
        <f>COUNTIF(D19:AG19,"cex")</f>
        <v>0</v>
      </c>
      <c r="AP19" s="190">
        <f>COUNTIF(D19:AG19,"res")</f>
        <v>0</v>
      </c>
      <c r="AQ19" s="191">
        <f>COUNTIF(D19:AG19,"mA")</f>
        <v>0</v>
      </c>
      <c r="AR19" s="192">
        <f>COUNTIF(D19:AG19,"at")</f>
        <v>0</v>
      </c>
      <c r="AS19" s="193">
        <f>COUNTIF(D19:AG19,"TAD")</f>
        <v>0</v>
      </c>
      <c r="AT19" s="194">
        <f>COUNTIF(D19:AG19,"TP")</f>
        <v>0</v>
      </c>
    </row>
    <row r="20" spans="1:46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8"/>
    </row>
    <row r="21" spans="1:46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 t="s">
        <v>235</v>
      </c>
      <c r="P21" s="78"/>
      <c r="Q21" s="78"/>
      <c r="R21" s="78" t="s">
        <v>235</v>
      </c>
      <c r="S21" s="78" t="s">
        <v>235</v>
      </c>
      <c r="T21" s="78" t="s">
        <v>235</v>
      </c>
      <c r="U21" s="78" t="s">
        <v>235</v>
      </c>
      <c r="V21" s="78" t="s">
        <v>235</v>
      </c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183">
        <f>COUNTIF(D21:AG21,"p")</f>
        <v>0</v>
      </c>
      <c r="AI21" s="183">
        <f>COUNTIF(D21:AG21,"AH")</f>
        <v>0</v>
      </c>
      <c r="AJ21" s="184">
        <f>COUNTIF(D21:AG21,"PC")</f>
        <v>0</v>
      </c>
      <c r="AK21" s="185">
        <f>COUNTIF(D21:AG21,"f")</f>
        <v>0</v>
      </c>
      <c r="AL21" s="186">
        <f>COUNTIF(D21:AG21,"ast")</f>
        <v>6</v>
      </c>
      <c r="AM21" s="187">
        <f>COUNTIF(D21:AG21,"cA")</f>
        <v>0</v>
      </c>
      <c r="AN21" s="188">
        <f>COUNTIF(D21:AG21,"rtt")</f>
        <v>0</v>
      </c>
      <c r="AO21" s="189">
        <f>COUNTIF(D21:AG21,"cex")</f>
        <v>0</v>
      </c>
      <c r="AP21" s="190">
        <f>COUNTIF(D21:AG21,"res")</f>
        <v>0</v>
      </c>
      <c r="AQ21" s="191">
        <f>COUNTIF(D21:AG21,"mA")</f>
        <v>0</v>
      </c>
      <c r="AR21" s="192">
        <f>COUNTIF(D21:AG21,"at")</f>
        <v>0</v>
      </c>
      <c r="AS21" s="193">
        <f>COUNTIF(D21:AG21,"TAD")</f>
        <v>0</v>
      </c>
      <c r="AT21" s="194">
        <f>COUNTIF(D21:AG21,"TP")</f>
        <v>0</v>
      </c>
    </row>
    <row r="22" spans="1:46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8"/>
    </row>
    <row r="23" spans="1:46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203">
        <f>COUNTIF(D23:AG23,"p")</f>
        <v>0</v>
      </c>
      <c r="AI23" s="203">
        <f>COUNTIF(D23:AG23,"AH")</f>
        <v>0</v>
      </c>
      <c r="AJ23" s="204">
        <f>COUNTIF(D23:AG23,"PC")</f>
        <v>0</v>
      </c>
      <c r="AK23" s="205">
        <f>COUNTIF(D23:AG23,"f")</f>
        <v>0</v>
      </c>
      <c r="AL23" s="206">
        <f>COUNTIF(D23:AG23,"ast")</f>
        <v>0</v>
      </c>
      <c r="AM23" s="207">
        <f>COUNTIF(D23:AG23,"cA")</f>
        <v>0</v>
      </c>
      <c r="AN23" s="208">
        <f>COUNTIF(D23:AG23,"rtt")</f>
        <v>0</v>
      </c>
      <c r="AO23" s="209">
        <f>COUNTIF(D23:AG23,"cex")</f>
        <v>0</v>
      </c>
      <c r="AP23" s="210">
        <f>COUNTIF(D23:AG23,"res")</f>
        <v>0</v>
      </c>
      <c r="AQ23" s="211">
        <f>COUNTIF(D23:AG23,"mA")</f>
        <v>0</v>
      </c>
      <c r="AR23" s="212">
        <f>COUNTIF(D23:AG23,"at")</f>
        <v>0</v>
      </c>
      <c r="AS23" s="213">
        <f>COUNTIF(D23:AG23,"TAD")</f>
        <v>0</v>
      </c>
      <c r="AT23" s="214">
        <f>COUNTIF(D23:AG23,"TP")</f>
        <v>0</v>
      </c>
    </row>
    <row r="24" spans="1:46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215">
        <f>COUNTIF(D24:AG24,"p")</f>
        <v>0</v>
      </c>
      <c r="AI24" s="215">
        <f>COUNTIF(D24:AG24,"AH")</f>
        <v>0</v>
      </c>
      <c r="AJ24" s="216">
        <f>COUNTIF(D24:AG24,"PC")</f>
        <v>0</v>
      </c>
      <c r="AK24" s="217">
        <f>COUNTIF(D24:AG24,"f")</f>
        <v>0</v>
      </c>
      <c r="AL24" s="218">
        <f>COUNTIF(D24:AG24,"ast")</f>
        <v>0</v>
      </c>
      <c r="AM24" s="219">
        <f>COUNTIF(D24:AG24,"cA")</f>
        <v>0</v>
      </c>
      <c r="AN24" s="220">
        <f>COUNTIF(D24:AG24,"rtt")</f>
        <v>0</v>
      </c>
      <c r="AO24" s="221">
        <f>COUNTIF(D24:AG24,"cex")</f>
        <v>0</v>
      </c>
      <c r="AP24" s="222">
        <f>COUNTIF(D24:AG24,"res")</f>
        <v>0</v>
      </c>
      <c r="AQ24" s="223">
        <f>COUNTIF(D24:AG24,"mA")</f>
        <v>0</v>
      </c>
      <c r="AR24" s="224">
        <f>COUNTIF(D24:AG24,"at")</f>
        <v>0</v>
      </c>
      <c r="AS24" s="225">
        <f>COUNTIF(D24:AG24,"TAD")</f>
        <v>0</v>
      </c>
      <c r="AT24" s="226">
        <f>COUNTIF(D24:AG24,"TP")</f>
        <v>0</v>
      </c>
    </row>
    <row r="25" spans="1:46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8"/>
    </row>
    <row r="26" spans="1:46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 t="s">
        <v>242</v>
      </c>
      <c r="E26" s="80" t="s">
        <v>242</v>
      </c>
      <c r="F26" s="80" t="s">
        <v>242</v>
      </c>
      <c r="G26" s="80" t="s">
        <v>242</v>
      </c>
      <c r="H26" s="80" t="s">
        <v>242</v>
      </c>
      <c r="I26" s="80"/>
      <c r="J26" s="80"/>
      <c r="K26" s="80" t="s">
        <v>242</v>
      </c>
      <c r="L26" s="80" t="s">
        <v>242</v>
      </c>
      <c r="M26" s="80" t="s">
        <v>242</v>
      </c>
      <c r="N26" s="80" t="s">
        <v>242</v>
      </c>
      <c r="O26" s="80" t="s">
        <v>242</v>
      </c>
      <c r="P26" s="80"/>
      <c r="Q26" s="80"/>
      <c r="R26" s="80" t="s">
        <v>242</v>
      </c>
      <c r="S26" s="80" t="s">
        <v>242</v>
      </c>
      <c r="T26" s="80" t="s">
        <v>242</v>
      </c>
      <c r="U26" s="80" t="s">
        <v>242</v>
      </c>
      <c r="V26" s="80" t="s">
        <v>242</v>
      </c>
      <c r="W26" s="80"/>
      <c r="X26" s="80"/>
      <c r="Y26" s="80" t="s">
        <v>242</v>
      </c>
      <c r="Z26" s="80" t="s">
        <v>242</v>
      </c>
      <c r="AA26" s="80" t="s">
        <v>242</v>
      </c>
      <c r="AB26" s="80" t="s">
        <v>242</v>
      </c>
      <c r="AC26" s="80" t="s">
        <v>242</v>
      </c>
      <c r="AD26" s="80"/>
      <c r="AE26" s="80"/>
      <c r="AF26" s="80" t="s">
        <v>242</v>
      </c>
      <c r="AG26" s="80" t="s">
        <v>242</v>
      </c>
      <c r="AH26" s="203">
        <f>COUNTIF(D26:AG26,"p")</f>
        <v>0</v>
      </c>
      <c r="AI26" s="203">
        <f>COUNTIF(D26:AG26,"AH")</f>
        <v>0</v>
      </c>
      <c r="AJ26" s="204">
        <f>COUNTIF(D26:AG26,"PC")</f>
        <v>0</v>
      </c>
      <c r="AK26" s="205">
        <f>COUNTIF(D26:AG26,"f")</f>
        <v>0</v>
      </c>
      <c r="AL26" s="206">
        <f>COUNTIF(D26:AG26,"ast")</f>
        <v>0</v>
      </c>
      <c r="AM26" s="207">
        <f>COUNTIF(D26:AG26,"cA")</f>
        <v>0</v>
      </c>
      <c r="AN26" s="208">
        <f>COUNTIF(D26:AG26,"rtt")</f>
        <v>0</v>
      </c>
      <c r="AO26" s="209">
        <f>COUNTIF(D26:AG26,"cex")</f>
        <v>0</v>
      </c>
      <c r="AP26" s="210">
        <f>COUNTIF(D26:AG26,"res")</f>
        <v>0</v>
      </c>
      <c r="AQ26" s="211">
        <f>COUNTIF(D26:AG26,"mA")</f>
        <v>0</v>
      </c>
      <c r="AR26" s="212">
        <f>COUNTIF(D26:AG26,"at")</f>
        <v>0</v>
      </c>
      <c r="AS26" s="213">
        <f>COUNTIF(D26:AG26,"TAD")</f>
        <v>0</v>
      </c>
      <c r="AT26" s="214">
        <f>COUNTIF(D26:AG26,"TP")</f>
        <v>22</v>
      </c>
    </row>
    <row r="27" spans="1:46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107">
        <f>COUNTIF(D27:AG27,"p")</f>
        <v>0</v>
      </c>
      <c r="AI27" s="107">
        <f>COUNTIF(D27:AG27,"AH")</f>
        <v>0</v>
      </c>
      <c r="AJ27" s="108">
        <f>COUNTIF(D27:AG27,"PC")</f>
        <v>0</v>
      </c>
      <c r="AK27" s="109">
        <f>COUNTIF(D27:AG27,"f")</f>
        <v>0</v>
      </c>
      <c r="AL27" s="110">
        <f>COUNTIF(D27:AG27,"ast")</f>
        <v>0</v>
      </c>
      <c r="AM27" s="111">
        <f>COUNTIF(D27:AG27,"cA")</f>
        <v>0</v>
      </c>
      <c r="AN27" s="112">
        <f>COUNTIF(D27:AG27,"rtt")</f>
        <v>0</v>
      </c>
      <c r="AO27" s="113">
        <f>COUNTIF(D27:AG27,"cex")</f>
        <v>0</v>
      </c>
      <c r="AP27" s="114">
        <f>COUNTIF(D27:AG27,"res")</f>
        <v>0</v>
      </c>
      <c r="AQ27" s="115">
        <f>COUNTIF(D27:AG27,"mA")</f>
        <v>0</v>
      </c>
      <c r="AR27" s="116">
        <f>COUNTIF(D27:AG27,"at")</f>
        <v>0</v>
      </c>
      <c r="AS27" s="117">
        <f>COUNTIF(D27:AG27,"TAD")</f>
        <v>0</v>
      </c>
      <c r="AT27" s="118">
        <f>COUNTIF(D27:AG27,"TP")</f>
        <v>0</v>
      </c>
    </row>
    <row r="28" spans="1:46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107">
        <f>COUNTIF(D28:AG28,"p")</f>
        <v>0</v>
      </c>
      <c r="AI28" s="107">
        <f>COUNTIF(D28:AG28,"AH")</f>
        <v>0</v>
      </c>
      <c r="AJ28" s="108">
        <f>COUNTIF(D28:AG28,"PC")</f>
        <v>0</v>
      </c>
      <c r="AK28" s="109">
        <f>COUNTIF(D28:AG28,"f")</f>
        <v>0</v>
      </c>
      <c r="AL28" s="110">
        <f>COUNTIF(D28:AG28,"ast")</f>
        <v>0</v>
      </c>
      <c r="AM28" s="111">
        <f>COUNTIF(D28:AG28,"cA")</f>
        <v>0</v>
      </c>
      <c r="AN28" s="112">
        <f>COUNTIF(D28:AG28,"rtt")</f>
        <v>0</v>
      </c>
      <c r="AO28" s="113">
        <f>COUNTIF(D28:AG28,"cex")</f>
        <v>0</v>
      </c>
      <c r="AP28" s="114">
        <f>COUNTIF(D28:AG28,"res")</f>
        <v>0</v>
      </c>
      <c r="AQ28" s="115">
        <f>COUNTIF(D28:AG28,"mA")</f>
        <v>0</v>
      </c>
      <c r="AR28" s="116">
        <f>COUNTIF(D28:AG28,"at")</f>
        <v>0</v>
      </c>
      <c r="AS28" s="117">
        <f>COUNTIF(D28:AG28,"TAD")</f>
        <v>0</v>
      </c>
      <c r="AT28" s="118">
        <f>COUNTIF(D28:AG28,"TP")</f>
        <v>0</v>
      </c>
    </row>
    <row r="29" spans="1:46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215">
        <f>COUNTIF(D29:AG29,"p")</f>
        <v>0</v>
      </c>
      <c r="AI29" s="215">
        <f>COUNTIF(D29:AG29,"AH")</f>
        <v>0</v>
      </c>
      <c r="AJ29" s="216">
        <f>COUNTIF(D29:AG29,"PC")</f>
        <v>0</v>
      </c>
      <c r="AK29" s="217">
        <f>COUNTIF(D29:AG29,"f")</f>
        <v>0</v>
      </c>
      <c r="AL29" s="218">
        <f>COUNTIF(D29:AG29,"ast")</f>
        <v>0</v>
      </c>
      <c r="AM29" s="219">
        <f>COUNTIF(D29:AG29,"cA")</f>
        <v>0</v>
      </c>
      <c r="AN29" s="220">
        <f>COUNTIF(D29:AG29,"rtt")</f>
        <v>0</v>
      </c>
      <c r="AO29" s="221">
        <f>COUNTIF(D29:AG29,"cex")</f>
        <v>0</v>
      </c>
      <c r="AP29" s="222">
        <f>COUNTIF(D29:AG29,"res")</f>
        <v>0</v>
      </c>
      <c r="AQ29" s="223">
        <f>COUNTIF(D29:AG29,"mA")</f>
        <v>0</v>
      </c>
      <c r="AR29" s="224">
        <f>COUNTIF(D29:AG29,"at")</f>
        <v>0</v>
      </c>
      <c r="AS29" s="225">
        <f>COUNTIF(D29:AG29,"TAD")</f>
        <v>0</v>
      </c>
      <c r="AT29" s="226">
        <f>COUNTIF(D29:AG29,"TP")</f>
        <v>0</v>
      </c>
    </row>
    <row r="30" spans="1:46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229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30"/>
    </row>
    <row r="31" spans="1:46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183">
        <f>COUNTIF(D31:AG31,"p")</f>
        <v>0</v>
      </c>
      <c r="AI31" s="183">
        <f>COUNTIF(D31:AG31,"AH")</f>
        <v>0</v>
      </c>
      <c r="AJ31" s="184">
        <f>COUNTIF(D31:AG31,"PC")</f>
        <v>0</v>
      </c>
      <c r="AK31" s="185">
        <f>COUNTIF(D31:AG31,"f")</f>
        <v>0</v>
      </c>
      <c r="AL31" s="186">
        <f>COUNTIF(D31:AG31,"ast")</f>
        <v>0</v>
      </c>
      <c r="AM31" s="187">
        <f>COUNTIF(D31:AG31,"cA")</f>
        <v>0</v>
      </c>
      <c r="AN31" s="188">
        <f>COUNTIF(D31:AG31,"rtt")</f>
        <v>0</v>
      </c>
      <c r="AO31" s="189">
        <f>COUNTIF(D31:AG31,"cex")</f>
        <v>0</v>
      </c>
      <c r="AP31" s="190">
        <f>COUNTIF(D31:AG31,"res")</f>
        <v>0</v>
      </c>
      <c r="AQ31" s="191">
        <f>COUNTIF(D31:AG31,"mA")</f>
        <v>0</v>
      </c>
      <c r="AR31" s="192">
        <f>COUNTIF(D31:AG31,"at")</f>
        <v>0</v>
      </c>
      <c r="AS31" s="193">
        <f>COUNTIF(D31:AG31,"TAD")</f>
        <v>0</v>
      </c>
      <c r="AT31" s="194">
        <f>COUNTIF(D31:AG31,"TP")</f>
        <v>0</v>
      </c>
    </row>
    <row r="32" spans="1:46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229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30"/>
    </row>
    <row r="33" spans="1:46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203">
        <f>COUNTIF(D33:AG33,"p")</f>
        <v>0</v>
      </c>
      <c r="AI33" s="203">
        <f>COUNTIF(D33:AG33,"AH")</f>
        <v>0</v>
      </c>
      <c r="AJ33" s="204">
        <f>COUNTIF(D33:AG33,"PC")</f>
        <v>0</v>
      </c>
      <c r="AK33" s="205">
        <f>COUNTIF(D33:AG33,"f")</f>
        <v>0</v>
      </c>
      <c r="AL33" s="206">
        <f>COUNTIF(D33:AG33,"ast")</f>
        <v>0</v>
      </c>
      <c r="AM33" s="207">
        <f>COUNTIF(D33:AG33,"cA")</f>
        <v>0</v>
      </c>
      <c r="AN33" s="208">
        <f>COUNTIF(D33:AG33,"rtt")</f>
        <v>0</v>
      </c>
      <c r="AO33" s="209">
        <f>COUNTIF(D33:AG33,"cex")</f>
        <v>0</v>
      </c>
      <c r="AP33" s="210">
        <f>COUNTIF(D33:AG33,"res")</f>
        <v>0</v>
      </c>
      <c r="AQ33" s="211">
        <f>COUNTIF(D33:AG33,"mA")</f>
        <v>0</v>
      </c>
      <c r="AR33" s="212">
        <f>COUNTIF(D33:AG33,"at")</f>
        <v>0</v>
      </c>
      <c r="AS33" s="213">
        <f>COUNTIF(D33:AG33,"TAD")</f>
        <v>0</v>
      </c>
      <c r="AT33" s="214">
        <f>COUNTIF(D33:AG33,"TP")</f>
        <v>0</v>
      </c>
    </row>
    <row r="34" spans="1:46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215">
        <f>COUNTIF(D34:AG34,"p")</f>
        <v>0</v>
      </c>
      <c r="AI34" s="215">
        <f>COUNTIF(D34:AG34,"AH")</f>
        <v>0</v>
      </c>
      <c r="AJ34" s="216">
        <f>COUNTIF(D34:AG34,"PC")</f>
        <v>0</v>
      </c>
      <c r="AK34" s="217">
        <f>COUNTIF(D34:AG34,"f")</f>
        <v>0</v>
      </c>
      <c r="AL34" s="218">
        <f>COUNTIF(D34:AG34,"ast")</f>
        <v>0</v>
      </c>
      <c r="AM34" s="219">
        <f>COUNTIF(D34:AG34,"cA")</f>
        <v>0</v>
      </c>
      <c r="AN34" s="220">
        <f>COUNTIF(D34:AG34,"rtt")</f>
        <v>0</v>
      </c>
      <c r="AO34" s="221">
        <f>COUNTIF(D34:AG34,"cex")</f>
        <v>0</v>
      </c>
      <c r="AP34" s="222">
        <f>COUNTIF(D34:AG34,"res")</f>
        <v>0</v>
      </c>
      <c r="AQ34" s="223">
        <f>COUNTIF(D34:AG34,"mA")</f>
        <v>0</v>
      </c>
      <c r="AR34" s="224">
        <f>COUNTIF(D34:AG34,"at")</f>
        <v>0</v>
      </c>
      <c r="AS34" s="225">
        <f>COUNTIF(D34:AG34,"TAD")</f>
        <v>0</v>
      </c>
      <c r="AT34" s="226">
        <f>COUNTIF(D34:AG34,"TP")</f>
        <v>0</v>
      </c>
    </row>
    <row r="35" spans="1:46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229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30"/>
    </row>
    <row r="36" spans="1:46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203">
        <f>COUNTIF(D36:AG36,"p")</f>
        <v>0</v>
      </c>
      <c r="AI36" s="203">
        <f>COUNTIF(D36:AG36,"AH")</f>
        <v>0</v>
      </c>
      <c r="AJ36" s="204">
        <f>COUNTIF(D36:AG36,"PC")</f>
        <v>0</v>
      </c>
      <c r="AK36" s="205">
        <f>COUNTIF(D36:AG36,"f")</f>
        <v>0</v>
      </c>
      <c r="AL36" s="206">
        <f>COUNTIF(D36:AG36,"ast")</f>
        <v>0</v>
      </c>
      <c r="AM36" s="207">
        <f>COUNTIF(D36:AG36,"cA")</f>
        <v>0</v>
      </c>
      <c r="AN36" s="208">
        <f>COUNTIF(D36:AG36,"rtt")</f>
        <v>0</v>
      </c>
      <c r="AO36" s="209">
        <f>COUNTIF(D36:AG36,"cex")</f>
        <v>0</v>
      </c>
      <c r="AP36" s="210">
        <f>COUNTIF(D36:AG36,"res")</f>
        <v>0</v>
      </c>
      <c r="AQ36" s="211">
        <f>COUNTIF(D36:AG36,"mA")</f>
        <v>0</v>
      </c>
      <c r="AR36" s="212">
        <f>COUNTIF(D36:AG36,"at")</f>
        <v>0</v>
      </c>
      <c r="AS36" s="213">
        <f>COUNTIF(D36:AG36,"TAD")</f>
        <v>0</v>
      </c>
      <c r="AT36" s="214">
        <f>COUNTIF(D36:AG36,"TP")</f>
        <v>0</v>
      </c>
    </row>
    <row r="37" spans="1:46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G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</row>
    <row r="38" spans="1:46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8"/>
    </row>
    <row r="39" spans="1:46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200"/>
    </row>
    <row r="40" spans="1:46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183">
        <f>COUNTIF(D40:AG40,"p")</f>
        <v>0</v>
      </c>
      <c r="AI40" s="183">
        <f>COUNTIF(D40:AG40,"AH")</f>
        <v>0</v>
      </c>
      <c r="AJ40" s="184">
        <f>COUNTIF(D40:AG40,"PC")</f>
        <v>0</v>
      </c>
      <c r="AK40" s="185">
        <f>COUNTIF(D40:AG40,"f")</f>
        <v>0</v>
      </c>
      <c r="AL40" s="186">
        <f>COUNTIF(D40:AG40,"ast")</f>
        <v>0</v>
      </c>
      <c r="AM40" s="187">
        <f>COUNTIF(D40:AG40,"cA")</f>
        <v>0</v>
      </c>
      <c r="AN40" s="188">
        <f>COUNTIF(D40:AG40,"rtt")</f>
        <v>0</v>
      </c>
      <c r="AO40" s="189">
        <f>COUNTIF(D40:AG40,"cex")</f>
        <v>0</v>
      </c>
      <c r="AP40" s="190">
        <f>COUNTIF(D40:AG40,"res")</f>
        <v>0</v>
      </c>
      <c r="AQ40" s="191">
        <f>COUNTIF(D40:AG40,"mA")</f>
        <v>0</v>
      </c>
      <c r="AR40" s="192">
        <f>COUNTIF(D40:AG40,"at")</f>
        <v>0</v>
      </c>
      <c r="AS40" s="193">
        <f>COUNTIF(D40:AG40,"TAD")</f>
        <v>0</v>
      </c>
      <c r="AT40" s="194">
        <f>COUNTIF(D40:AG40,"TP")</f>
        <v>0</v>
      </c>
    </row>
    <row r="41" spans="1:46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2"/>
    </row>
    <row r="42" spans="1:46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183">
        <f>COUNTIF(D42:AG42,"p")</f>
        <v>0</v>
      </c>
      <c r="AI42" s="183">
        <f>COUNTIF(D42:AG42,"AH")</f>
        <v>0</v>
      </c>
      <c r="AJ42" s="184">
        <f>COUNTIF(D42:AG42,"PC")</f>
        <v>0</v>
      </c>
      <c r="AK42" s="185">
        <f>COUNTIF(D42:AG42,"f")</f>
        <v>0</v>
      </c>
      <c r="AL42" s="186">
        <f>COUNTIF(D42:AG42,"ast")</f>
        <v>0</v>
      </c>
      <c r="AM42" s="187">
        <f>COUNTIF(D42:AG42,"cA")</f>
        <v>0</v>
      </c>
      <c r="AN42" s="188">
        <f>COUNTIF(D42:AG42,"rtt")</f>
        <v>0</v>
      </c>
      <c r="AO42" s="189">
        <f>COUNTIF(D42:AG42,"cex")</f>
        <v>0</v>
      </c>
      <c r="AP42" s="190">
        <f>COUNTIF(D42:AG42,"res")</f>
        <v>0</v>
      </c>
      <c r="AQ42" s="191">
        <f>COUNTIF(D42:AG42,"mA")</f>
        <v>0</v>
      </c>
      <c r="AR42" s="192">
        <f>COUNTIF(D42:AG42,"at")</f>
        <v>0</v>
      </c>
      <c r="AS42" s="193">
        <f>COUNTIF(D42:AG42,"TAD")</f>
        <v>0</v>
      </c>
      <c r="AT42" s="194">
        <f>COUNTIF(D42:AG42,"TP")</f>
        <v>0</v>
      </c>
    </row>
    <row r="43" spans="1:46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2"/>
    </row>
    <row r="44" spans="1:46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203">
        <f>COUNTIF(D44:AG44,"p")</f>
        <v>0</v>
      </c>
      <c r="AI44" s="203">
        <f>COUNTIF(D44:AG44,"AH")</f>
        <v>0</v>
      </c>
      <c r="AJ44" s="204">
        <f>COUNTIF(D44:AG44,"PC")</f>
        <v>0</v>
      </c>
      <c r="AK44" s="205">
        <f>COUNTIF(D44:AG44,"f")</f>
        <v>0</v>
      </c>
      <c r="AL44" s="206">
        <f>COUNTIF(D44:AG44,"ast")</f>
        <v>0</v>
      </c>
      <c r="AM44" s="207">
        <f>COUNTIF(D44:AG44,"cA")</f>
        <v>0</v>
      </c>
      <c r="AN44" s="208">
        <f>COUNTIF(D44:AG44,"rtt")</f>
        <v>0</v>
      </c>
      <c r="AO44" s="209">
        <f>COUNTIF(D44:AG44,"cex")</f>
        <v>0</v>
      </c>
      <c r="AP44" s="210">
        <f>COUNTIF(D44:AG44,"res")</f>
        <v>0</v>
      </c>
      <c r="AQ44" s="211">
        <f>COUNTIF(D44:AG44,"mA")</f>
        <v>0</v>
      </c>
      <c r="AR44" s="212">
        <f>COUNTIF(D44:AG44,"at")</f>
        <v>0</v>
      </c>
      <c r="AS44" s="213">
        <f>COUNTIF(D44:AG44,"TAD")</f>
        <v>0</v>
      </c>
      <c r="AT44" s="214">
        <f>COUNTIF(D44:AG44,"TP")</f>
        <v>0</v>
      </c>
    </row>
    <row r="45" spans="1:46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215">
        <f>COUNTIF(D45:AG45,"p")</f>
        <v>0</v>
      </c>
      <c r="AI45" s="215">
        <f>COUNTIF(D45:AG45,"AH")</f>
        <v>0</v>
      </c>
      <c r="AJ45" s="216">
        <f>COUNTIF(D45:AG45,"PC")</f>
        <v>0</v>
      </c>
      <c r="AK45" s="217">
        <f>COUNTIF(D45:AG45,"f")</f>
        <v>0</v>
      </c>
      <c r="AL45" s="218">
        <f>COUNTIF(D45:AG45,"ast")</f>
        <v>0</v>
      </c>
      <c r="AM45" s="219">
        <f>COUNTIF(D45:AG45,"cA")</f>
        <v>0</v>
      </c>
      <c r="AN45" s="220">
        <f>COUNTIF(D45:AG45,"rtt")</f>
        <v>0</v>
      </c>
      <c r="AO45" s="221">
        <f>COUNTIF(D45:AG45,"cex")</f>
        <v>0</v>
      </c>
      <c r="AP45" s="222">
        <f>COUNTIF(D45:AG45,"res")</f>
        <v>0</v>
      </c>
      <c r="AQ45" s="223">
        <f>COUNTIF(D45:AG45,"mA")</f>
        <v>0</v>
      </c>
      <c r="AR45" s="224">
        <f>COUNTIF(D45:AG45,"at")</f>
        <v>0</v>
      </c>
      <c r="AS45" s="225">
        <f>COUNTIF(D45:AG45,"TAD")</f>
        <v>0</v>
      </c>
      <c r="AT45" s="226">
        <f>COUNTIF(D45:AG45,"TP")</f>
        <v>0</v>
      </c>
    </row>
    <row r="46" spans="1:46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201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2"/>
    </row>
    <row r="47" spans="1:46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203">
        <f>COUNTIF(D47:AG47,"p")</f>
        <v>0</v>
      </c>
      <c r="AI47" s="203">
        <f>COUNTIF(D47:AG47,"AH")</f>
        <v>0</v>
      </c>
      <c r="AJ47" s="204">
        <f>COUNTIF(D47:AG47,"PC")</f>
        <v>0</v>
      </c>
      <c r="AK47" s="205">
        <f>COUNTIF(D47:AG47,"f")</f>
        <v>0</v>
      </c>
      <c r="AL47" s="206">
        <f>COUNTIF(D47:AG47,"ast")</f>
        <v>0</v>
      </c>
      <c r="AM47" s="207">
        <f>COUNTIF(D47:AG47,"cA")</f>
        <v>0</v>
      </c>
      <c r="AN47" s="208">
        <f>COUNTIF(D47:AG47,"rtt")</f>
        <v>0</v>
      </c>
      <c r="AO47" s="209">
        <f>COUNTIF(D47:AG47,"cex")</f>
        <v>0</v>
      </c>
      <c r="AP47" s="210">
        <f>COUNTIF(D47:AG47,"res")</f>
        <v>0</v>
      </c>
      <c r="AQ47" s="211">
        <f>COUNTIF(D47:AG47,"mA")</f>
        <v>0</v>
      </c>
      <c r="AR47" s="212">
        <f>COUNTIF(D47:AG47,"at")</f>
        <v>0</v>
      </c>
      <c r="AS47" s="213">
        <f>COUNTIF(D47:AG47,"TAD")</f>
        <v>0</v>
      </c>
      <c r="AT47" s="214">
        <f>COUNTIF(D47:AG47,"TP")</f>
        <v>0</v>
      </c>
    </row>
    <row r="48" spans="1:46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215">
        <f>COUNTIF(D48:AG48,"p")</f>
        <v>0</v>
      </c>
      <c r="AI48" s="215">
        <f>COUNTIF(D48:AG48,"AH")</f>
        <v>0</v>
      </c>
      <c r="AJ48" s="216">
        <f>COUNTIF(D48:AG48,"PC")</f>
        <v>0</v>
      </c>
      <c r="AK48" s="217">
        <f>COUNTIF(D48:AG48,"f")</f>
        <v>0</v>
      </c>
      <c r="AL48" s="218">
        <f>COUNTIF(D48:AG48,"ast")</f>
        <v>0</v>
      </c>
      <c r="AM48" s="219">
        <f>COUNTIF(D48:AG48,"cA")</f>
        <v>0</v>
      </c>
      <c r="AN48" s="220">
        <f>COUNTIF(D48:AG48,"rtt")</f>
        <v>0</v>
      </c>
      <c r="AO48" s="221">
        <f>COUNTIF(D48:AG48,"cex")</f>
        <v>0</v>
      </c>
      <c r="AP48" s="222">
        <f>COUNTIF(D48:AG48,"res")</f>
        <v>0</v>
      </c>
      <c r="AQ48" s="223">
        <f>COUNTIF(D48:AG48,"mA")</f>
        <v>0</v>
      </c>
      <c r="AR48" s="224">
        <f>COUNTIF(D48:AG48,"at")</f>
        <v>0</v>
      </c>
      <c r="AS48" s="225">
        <f>COUNTIF(D48:AG48,"TAD")</f>
        <v>0</v>
      </c>
      <c r="AT48" s="226">
        <f>COUNTIF(D48:AG48,"TP")</f>
        <v>0</v>
      </c>
    </row>
    <row r="49" spans="1:46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232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</row>
    <row r="50" spans="1:46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107">
        <f t="shared" ref="AH50:AH59" si="4">COUNTIF(D50:AG50,"p")</f>
        <v>0</v>
      </c>
      <c r="AI50" s="107">
        <f t="shared" ref="AI50:AI59" si="5">COUNTIF(D50:AG50,"AH")</f>
        <v>0</v>
      </c>
      <c r="AJ50" s="108">
        <f t="shared" ref="AJ50:AJ59" si="6">COUNTIF(D50:AG50,"PC")</f>
        <v>0</v>
      </c>
      <c r="AK50" s="109">
        <f t="shared" ref="AK50:AK59" si="7">COUNTIF(D50:AG50,"f")</f>
        <v>0</v>
      </c>
      <c r="AL50" s="110">
        <f t="shared" ref="AL50:AL59" si="8">COUNTIF(D50:AG50,"ast")</f>
        <v>0</v>
      </c>
      <c r="AM50" s="111">
        <f t="shared" ref="AM50:AM59" si="9">COUNTIF(D50:AG50,"cA")</f>
        <v>0</v>
      </c>
      <c r="AN50" s="112">
        <f t="shared" ref="AN50:AN59" si="10">COUNTIF(D50:AG50,"rtt")</f>
        <v>0</v>
      </c>
      <c r="AO50" s="113">
        <f t="shared" ref="AO50:AO59" si="11">COUNTIF(D50:AG50,"cex")</f>
        <v>0</v>
      </c>
      <c r="AP50" s="114">
        <f t="shared" ref="AP50:AP59" si="12">COUNTIF(D50:AG50,"res")</f>
        <v>0</v>
      </c>
      <c r="AQ50" s="115">
        <f t="shared" ref="AQ50:AQ59" si="13">COUNTIF(D50:AG50,"mA")</f>
        <v>0</v>
      </c>
      <c r="AR50" s="116">
        <f t="shared" ref="AR50:AR59" si="14">COUNTIF(D50:AG50,"at")</f>
        <v>0</v>
      </c>
      <c r="AS50" s="117">
        <f t="shared" ref="AS50:AS59" si="15">COUNTIF(D50:AG50,"TAD")</f>
        <v>0</v>
      </c>
      <c r="AT50" s="118">
        <f t="shared" ref="AT50:AT59" si="16">COUNTIF(D50:AG50,"TP")</f>
        <v>0</v>
      </c>
    </row>
    <row r="51" spans="1:46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107">
        <f t="shared" si="4"/>
        <v>0</v>
      </c>
      <c r="AI51" s="107">
        <f t="shared" si="5"/>
        <v>0</v>
      </c>
      <c r="AJ51" s="108">
        <f t="shared" si="6"/>
        <v>0</v>
      </c>
      <c r="AK51" s="109">
        <f t="shared" si="7"/>
        <v>0</v>
      </c>
      <c r="AL51" s="110">
        <f t="shared" si="8"/>
        <v>0</v>
      </c>
      <c r="AM51" s="111">
        <f t="shared" si="9"/>
        <v>0</v>
      </c>
      <c r="AN51" s="112">
        <f t="shared" si="10"/>
        <v>0</v>
      </c>
      <c r="AO51" s="113">
        <f t="shared" si="11"/>
        <v>0</v>
      </c>
      <c r="AP51" s="114">
        <f t="shared" si="12"/>
        <v>0</v>
      </c>
      <c r="AQ51" s="115">
        <f t="shared" si="13"/>
        <v>0</v>
      </c>
      <c r="AR51" s="116">
        <f t="shared" si="14"/>
        <v>0</v>
      </c>
      <c r="AS51" s="117">
        <f t="shared" si="15"/>
        <v>0</v>
      </c>
      <c r="AT51" s="118">
        <f t="shared" si="16"/>
        <v>0</v>
      </c>
    </row>
    <row r="52" spans="1:46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107">
        <f t="shared" si="4"/>
        <v>0</v>
      </c>
      <c r="AI52" s="107">
        <f t="shared" si="5"/>
        <v>0</v>
      </c>
      <c r="AJ52" s="108">
        <f t="shared" si="6"/>
        <v>0</v>
      </c>
      <c r="AK52" s="109">
        <f t="shared" si="7"/>
        <v>0</v>
      </c>
      <c r="AL52" s="110">
        <f t="shared" si="8"/>
        <v>0</v>
      </c>
      <c r="AM52" s="111">
        <f t="shared" si="9"/>
        <v>0</v>
      </c>
      <c r="AN52" s="112">
        <f t="shared" si="10"/>
        <v>0</v>
      </c>
      <c r="AO52" s="113">
        <f t="shared" si="11"/>
        <v>0</v>
      </c>
      <c r="AP52" s="114">
        <f t="shared" si="12"/>
        <v>0</v>
      </c>
      <c r="AQ52" s="115">
        <f t="shared" si="13"/>
        <v>0</v>
      </c>
      <c r="AR52" s="116">
        <f t="shared" si="14"/>
        <v>0</v>
      </c>
      <c r="AS52" s="117">
        <f t="shared" si="15"/>
        <v>0</v>
      </c>
      <c r="AT52" s="118">
        <f t="shared" si="16"/>
        <v>0</v>
      </c>
    </row>
    <row r="53" spans="1:46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107">
        <f t="shared" si="4"/>
        <v>0</v>
      </c>
      <c r="AI53" s="107">
        <f t="shared" si="5"/>
        <v>0</v>
      </c>
      <c r="AJ53" s="108">
        <f t="shared" si="6"/>
        <v>0</v>
      </c>
      <c r="AK53" s="109">
        <f t="shared" si="7"/>
        <v>0</v>
      </c>
      <c r="AL53" s="110">
        <f t="shared" si="8"/>
        <v>0</v>
      </c>
      <c r="AM53" s="111">
        <f t="shared" si="9"/>
        <v>0</v>
      </c>
      <c r="AN53" s="112">
        <f t="shared" si="10"/>
        <v>0</v>
      </c>
      <c r="AO53" s="113">
        <f t="shared" si="11"/>
        <v>0</v>
      </c>
      <c r="AP53" s="114">
        <f t="shared" si="12"/>
        <v>0</v>
      </c>
      <c r="AQ53" s="115">
        <f t="shared" si="13"/>
        <v>0</v>
      </c>
      <c r="AR53" s="116">
        <f t="shared" si="14"/>
        <v>0</v>
      </c>
      <c r="AS53" s="117">
        <f t="shared" si="15"/>
        <v>0</v>
      </c>
      <c r="AT53" s="118">
        <f t="shared" si="16"/>
        <v>0</v>
      </c>
    </row>
    <row r="54" spans="1:46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107">
        <f t="shared" si="4"/>
        <v>0</v>
      </c>
      <c r="AI54" s="107">
        <f t="shared" si="5"/>
        <v>0</v>
      </c>
      <c r="AJ54" s="108">
        <f t="shared" si="6"/>
        <v>0</v>
      </c>
      <c r="AK54" s="109">
        <f t="shared" si="7"/>
        <v>0</v>
      </c>
      <c r="AL54" s="110">
        <f t="shared" si="8"/>
        <v>0</v>
      </c>
      <c r="AM54" s="111">
        <f t="shared" si="9"/>
        <v>0</v>
      </c>
      <c r="AN54" s="112">
        <f t="shared" si="10"/>
        <v>0</v>
      </c>
      <c r="AO54" s="113">
        <f t="shared" si="11"/>
        <v>0</v>
      </c>
      <c r="AP54" s="114">
        <f t="shared" si="12"/>
        <v>0</v>
      </c>
      <c r="AQ54" s="115">
        <f t="shared" si="13"/>
        <v>0</v>
      </c>
      <c r="AR54" s="116">
        <f t="shared" si="14"/>
        <v>0</v>
      </c>
      <c r="AS54" s="117">
        <f t="shared" si="15"/>
        <v>0</v>
      </c>
      <c r="AT54" s="118">
        <f t="shared" si="16"/>
        <v>0</v>
      </c>
    </row>
    <row r="55" spans="1:46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107">
        <f t="shared" si="4"/>
        <v>0</v>
      </c>
      <c r="AI55" s="107">
        <f t="shared" si="5"/>
        <v>0</v>
      </c>
      <c r="AJ55" s="108">
        <f t="shared" si="6"/>
        <v>0</v>
      </c>
      <c r="AK55" s="109">
        <f t="shared" si="7"/>
        <v>0</v>
      </c>
      <c r="AL55" s="110">
        <f t="shared" si="8"/>
        <v>0</v>
      </c>
      <c r="AM55" s="111">
        <f t="shared" si="9"/>
        <v>0</v>
      </c>
      <c r="AN55" s="112">
        <f t="shared" si="10"/>
        <v>0</v>
      </c>
      <c r="AO55" s="113">
        <f t="shared" si="11"/>
        <v>0</v>
      </c>
      <c r="AP55" s="114">
        <f t="shared" si="12"/>
        <v>0</v>
      </c>
      <c r="AQ55" s="115">
        <f t="shared" si="13"/>
        <v>0</v>
      </c>
      <c r="AR55" s="116">
        <f t="shared" si="14"/>
        <v>0</v>
      </c>
      <c r="AS55" s="117">
        <f t="shared" si="15"/>
        <v>0</v>
      </c>
      <c r="AT55" s="118">
        <f t="shared" si="16"/>
        <v>0</v>
      </c>
    </row>
    <row r="56" spans="1:46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107">
        <f t="shared" si="4"/>
        <v>0</v>
      </c>
      <c r="AI56" s="107">
        <f t="shared" si="5"/>
        <v>0</v>
      </c>
      <c r="AJ56" s="108">
        <f t="shared" si="6"/>
        <v>0</v>
      </c>
      <c r="AK56" s="109">
        <f t="shared" si="7"/>
        <v>0</v>
      </c>
      <c r="AL56" s="110">
        <f t="shared" si="8"/>
        <v>0</v>
      </c>
      <c r="AM56" s="111">
        <f t="shared" si="9"/>
        <v>0</v>
      </c>
      <c r="AN56" s="112">
        <f t="shared" si="10"/>
        <v>0</v>
      </c>
      <c r="AO56" s="113">
        <f t="shared" si="11"/>
        <v>0</v>
      </c>
      <c r="AP56" s="114">
        <f t="shared" si="12"/>
        <v>0</v>
      </c>
      <c r="AQ56" s="115">
        <f t="shared" si="13"/>
        <v>0</v>
      </c>
      <c r="AR56" s="116">
        <f t="shared" si="14"/>
        <v>0</v>
      </c>
      <c r="AS56" s="117">
        <f t="shared" si="15"/>
        <v>0</v>
      </c>
      <c r="AT56" s="118">
        <f t="shared" si="16"/>
        <v>0</v>
      </c>
    </row>
    <row r="57" spans="1:46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107">
        <f t="shared" si="4"/>
        <v>0</v>
      </c>
      <c r="AI57" s="107">
        <f t="shared" si="5"/>
        <v>0</v>
      </c>
      <c r="AJ57" s="108">
        <f t="shared" si="6"/>
        <v>0</v>
      </c>
      <c r="AK57" s="109">
        <f t="shared" si="7"/>
        <v>0</v>
      </c>
      <c r="AL57" s="110">
        <f t="shared" si="8"/>
        <v>0</v>
      </c>
      <c r="AM57" s="111">
        <f t="shared" si="9"/>
        <v>0</v>
      </c>
      <c r="AN57" s="112">
        <f t="shared" si="10"/>
        <v>0</v>
      </c>
      <c r="AO57" s="113">
        <f t="shared" si="11"/>
        <v>0</v>
      </c>
      <c r="AP57" s="114">
        <f t="shared" si="12"/>
        <v>0</v>
      </c>
      <c r="AQ57" s="115">
        <f t="shared" si="13"/>
        <v>0</v>
      </c>
      <c r="AR57" s="116">
        <f t="shared" si="14"/>
        <v>0</v>
      </c>
      <c r="AS57" s="117">
        <f t="shared" si="15"/>
        <v>0</v>
      </c>
      <c r="AT57" s="118">
        <f t="shared" si="16"/>
        <v>0</v>
      </c>
    </row>
    <row r="58" spans="1:46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107">
        <f t="shared" si="4"/>
        <v>0</v>
      </c>
      <c r="AI58" s="107">
        <f t="shared" si="5"/>
        <v>0</v>
      </c>
      <c r="AJ58" s="108">
        <f t="shared" si="6"/>
        <v>0</v>
      </c>
      <c r="AK58" s="109">
        <f t="shared" si="7"/>
        <v>0</v>
      </c>
      <c r="AL58" s="110">
        <f t="shared" si="8"/>
        <v>0</v>
      </c>
      <c r="AM58" s="111">
        <f t="shared" si="9"/>
        <v>0</v>
      </c>
      <c r="AN58" s="112">
        <f t="shared" si="10"/>
        <v>0</v>
      </c>
      <c r="AO58" s="113">
        <f t="shared" si="11"/>
        <v>0</v>
      </c>
      <c r="AP58" s="114">
        <f t="shared" si="12"/>
        <v>0</v>
      </c>
      <c r="AQ58" s="115">
        <f t="shared" si="13"/>
        <v>0</v>
      </c>
      <c r="AR58" s="116">
        <f t="shared" si="14"/>
        <v>0</v>
      </c>
      <c r="AS58" s="117">
        <f t="shared" si="15"/>
        <v>0</v>
      </c>
      <c r="AT58" s="118">
        <f t="shared" si="16"/>
        <v>0</v>
      </c>
    </row>
    <row r="59" spans="1:46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107">
        <f t="shared" si="4"/>
        <v>0</v>
      </c>
      <c r="AI59" s="107">
        <f t="shared" si="5"/>
        <v>0</v>
      </c>
      <c r="AJ59" s="108">
        <f t="shared" si="6"/>
        <v>0</v>
      </c>
      <c r="AK59" s="109">
        <f t="shared" si="7"/>
        <v>0</v>
      </c>
      <c r="AL59" s="110">
        <f t="shared" si="8"/>
        <v>0</v>
      </c>
      <c r="AM59" s="111">
        <f t="shared" si="9"/>
        <v>0</v>
      </c>
      <c r="AN59" s="112">
        <f t="shared" si="10"/>
        <v>0</v>
      </c>
      <c r="AO59" s="113">
        <f t="shared" si="11"/>
        <v>0</v>
      </c>
      <c r="AP59" s="114">
        <f t="shared" si="12"/>
        <v>0</v>
      </c>
      <c r="AQ59" s="115">
        <f t="shared" si="13"/>
        <v>0</v>
      </c>
      <c r="AR59" s="116">
        <f t="shared" si="14"/>
        <v>0</v>
      </c>
      <c r="AS59" s="117">
        <f t="shared" si="15"/>
        <v>0</v>
      </c>
      <c r="AT59" s="118">
        <f t="shared" si="16"/>
        <v>0</v>
      </c>
    </row>
    <row r="60" spans="1:46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G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3"/>
    </row>
    <row r="61" spans="1:46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</row>
    <row r="62" spans="1:46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107">
        <f t="shared" ref="AH62:AH72" si="18">COUNTIF(D62:AG62,"p")</f>
        <v>0</v>
      </c>
      <c r="AI62" s="107">
        <f t="shared" ref="AI62:AI72" si="19">COUNTIF(D62:AG62,"AH")</f>
        <v>0</v>
      </c>
      <c r="AJ62" s="108">
        <f t="shared" ref="AJ62:AJ72" si="20">COUNTIF(D62:AG62,"PC")</f>
        <v>0</v>
      </c>
      <c r="AK62" s="109">
        <f t="shared" ref="AK62:AK72" si="21">COUNTIF(D62:AG62,"f")</f>
        <v>0</v>
      </c>
      <c r="AL62" s="110">
        <f t="shared" ref="AL62:AL72" si="22">COUNTIF(D62:AG62,"ast")</f>
        <v>0</v>
      </c>
      <c r="AM62" s="111">
        <f t="shared" ref="AM62:AM72" si="23">COUNTIF(D62:AG62,"cA")</f>
        <v>0</v>
      </c>
      <c r="AN62" s="112">
        <f t="shared" ref="AN62:AN72" si="24">COUNTIF(D62:AG62,"rtt")</f>
        <v>0</v>
      </c>
      <c r="AO62" s="113">
        <f t="shared" ref="AO62:AO72" si="25">COUNTIF(D62:AG62,"cex")</f>
        <v>0</v>
      </c>
      <c r="AP62" s="114">
        <f t="shared" ref="AP62:AP72" si="26">COUNTIF(D62:AG62,"res")</f>
        <v>0</v>
      </c>
      <c r="AQ62" s="115">
        <f t="shared" ref="AQ62:AQ72" si="27">COUNTIF(D62:AG62,"mA")</f>
        <v>0</v>
      </c>
      <c r="AR62" s="116">
        <f t="shared" ref="AR62:AR72" si="28">COUNTIF(D62:AG62,"at")</f>
        <v>0</v>
      </c>
      <c r="AS62" s="117">
        <f t="shared" ref="AS62:AS72" si="29">COUNTIF(D62:AG62,"TAD")</f>
        <v>0</v>
      </c>
      <c r="AT62" s="118">
        <f t="shared" ref="AT62:AT72" si="30">COUNTIF(D62:AG62,"TP")</f>
        <v>0</v>
      </c>
    </row>
    <row r="63" spans="1:46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107">
        <f t="shared" si="18"/>
        <v>0</v>
      </c>
      <c r="AI63" s="107">
        <f t="shared" si="19"/>
        <v>0</v>
      </c>
      <c r="AJ63" s="108">
        <f t="shared" si="20"/>
        <v>0</v>
      </c>
      <c r="AK63" s="109">
        <f t="shared" si="21"/>
        <v>0</v>
      </c>
      <c r="AL63" s="110">
        <f t="shared" si="22"/>
        <v>0</v>
      </c>
      <c r="AM63" s="111">
        <f t="shared" si="23"/>
        <v>0</v>
      </c>
      <c r="AN63" s="112">
        <f t="shared" si="24"/>
        <v>0</v>
      </c>
      <c r="AO63" s="113">
        <f t="shared" si="25"/>
        <v>0</v>
      </c>
      <c r="AP63" s="114">
        <f t="shared" si="26"/>
        <v>0</v>
      </c>
      <c r="AQ63" s="115">
        <f t="shared" si="27"/>
        <v>0</v>
      </c>
      <c r="AR63" s="116">
        <f t="shared" si="28"/>
        <v>0</v>
      </c>
      <c r="AS63" s="117">
        <f t="shared" si="29"/>
        <v>0</v>
      </c>
      <c r="AT63" s="118">
        <f t="shared" si="30"/>
        <v>0</v>
      </c>
    </row>
    <row r="64" spans="1:46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107">
        <f t="shared" si="18"/>
        <v>0</v>
      </c>
      <c r="AI64" s="107">
        <f t="shared" si="19"/>
        <v>0</v>
      </c>
      <c r="AJ64" s="108">
        <f t="shared" si="20"/>
        <v>0</v>
      </c>
      <c r="AK64" s="109">
        <f t="shared" si="21"/>
        <v>0</v>
      </c>
      <c r="AL64" s="110">
        <f t="shared" si="22"/>
        <v>0</v>
      </c>
      <c r="AM64" s="111">
        <f t="shared" si="23"/>
        <v>0</v>
      </c>
      <c r="AN64" s="112">
        <f t="shared" si="24"/>
        <v>0</v>
      </c>
      <c r="AO64" s="113">
        <f t="shared" si="25"/>
        <v>0</v>
      </c>
      <c r="AP64" s="114">
        <f t="shared" si="26"/>
        <v>0</v>
      </c>
      <c r="AQ64" s="115">
        <f t="shared" si="27"/>
        <v>0</v>
      </c>
      <c r="AR64" s="116">
        <f t="shared" si="28"/>
        <v>0</v>
      </c>
      <c r="AS64" s="117">
        <f t="shared" si="29"/>
        <v>0</v>
      </c>
      <c r="AT64" s="118">
        <f t="shared" si="30"/>
        <v>0</v>
      </c>
    </row>
    <row r="65" spans="1:46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107">
        <f t="shared" si="18"/>
        <v>0</v>
      </c>
      <c r="AI65" s="107">
        <f t="shared" si="19"/>
        <v>0</v>
      </c>
      <c r="AJ65" s="108">
        <f t="shared" si="20"/>
        <v>0</v>
      </c>
      <c r="AK65" s="109">
        <f t="shared" si="21"/>
        <v>0</v>
      </c>
      <c r="AL65" s="110">
        <f t="shared" si="22"/>
        <v>0</v>
      </c>
      <c r="AM65" s="111">
        <f t="shared" si="23"/>
        <v>0</v>
      </c>
      <c r="AN65" s="112">
        <f t="shared" si="24"/>
        <v>0</v>
      </c>
      <c r="AO65" s="113">
        <f t="shared" si="25"/>
        <v>0</v>
      </c>
      <c r="AP65" s="114">
        <f t="shared" si="26"/>
        <v>0</v>
      </c>
      <c r="AQ65" s="115">
        <f t="shared" si="27"/>
        <v>0</v>
      </c>
      <c r="AR65" s="116">
        <f t="shared" si="28"/>
        <v>0</v>
      </c>
      <c r="AS65" s="117">
        <f t="shared" si="29"/>
        <v>0</v>
      </c>
      <c r="AT65" s="118">
        <f t="shared" si="30"/>
        <v>0</v>
      </c>
    </row>
    <row r="66" spans="1:46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107">
        <f t="shared" si="18"/>
        <v>0</v>
      </c>
      <c r="AI66" s="107">
        <f t="shared" si="19"/>
        <v>0</v>
      </c>
      <c r="AJ66" s="108">
        <f t="shared" si="20"/>
        <v>0</v>
      </c>
      <c r="AK66" s="109">
        <f t="shared" si="21"/>
        <v>0</v>
      </c>
      <c r="AL66" s="110">
        <f t="shared" si="22"/>
        <v>0</v>
      </c>
      <c r="AM66" s="111">
        <f t="shared" si="23"/>
        <v>0</v>
      </c>
      <c r="AN66" s="112">
        <f t="shared" si="24"/>
        <v>0</v>
      </c>
      <c r="AO66" s="113">
        <f t="shared" si="25"/>
        <v>0</v>
      </c>
      <c r="AP66" s="114">
        <f t="shared" si="26"/>
        <v>0</v>
      </c>
      <c r="AQ66" s="115">
        <f t="shared" si="27"/>
        <v>0</v>
      </c>
      <c r="AR66" s="116">
        <f t="shared" si="28"/>
        <v>0</v>
      </c>
      <c r="AS66" s="117">
        <f t="shared" si="29"/>
        <v>0</v>
      </c>
      <c r="AT66" s="118">
        <f t="shared" si="30"/>
        <v>0</v>
      </c>
    </row>
    <row r="67" spans="1:46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107">
        <f t="shared" si="18"/>
        <v>0</v>
      </c>
      <c r="AI67" s="107">
        <f t="shared" si="19"/>
        <v>0</v>
      </c>
      <c r="AJ67" s="108">
        <f t="shared" si="20"/>
        <v>0</v>
      </c>
      <c r="AK67" s="109">
        <f t="shared" si="21"/>
        <v>0</v>
      </c>
      <c r="AL67" s="110">
        <f t="shared" si="22"/>
        <v>0</v>
      </c>
      <c r="AM67" s="111">
        <f t="shared" si="23"/>
        <v>0</v>
      </c>
      <c r="AN67" s="112">
        <f t="shared" si="24"/>
        <v>0</v>
      </c>
      <c r="AO67" s="113">
        <f t="shared" si="25"/>
        <v>0</v>
      </c>
      <c r="AP67" s="114">
        <f t="shared" si="26"/>
        <v>0</v>
      </c>
      <c r="AQ67" s="115">
        <f t="shared" si="27"/>
        <v>0</v>
      </c>
      <c r="AR67" s="116">
        <f t="shared" si="28"/>
        <v>0</v>
      </c>
      <c r="AS67" s="117">
        <f t="shared" si="29"/>
        <v>0</v>
      </c>
      <c r="AT67" s="118">
        <f t="shared" si="30"/>
        <v>0</v>
      </c>
    </row>
    <row r="68" spans="1:46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107">
        <f t="shared" si="18"/>
        <v>0</v>
      </c>
      <c r="AI68" s="107">
        <f t="shared" si="19"/>
        <v>0</v>
      </c>
      <c r="AJ68" s="108">
        <f t="shared" si="20"/>
        <v>0</v>
      </c>
      <c r="AK68" s="109">
        <f t="shared" si="21"/>
        <v>0</v>
      </c>
      <c r="AL68" s="110">
        <f t="shared" si="22"/>
        <v>0</v>
      </c>
      <c r="AM68" s="111">
        <f t="shared" si="23"/>
        <v>0</v>
      </c>
      <c r="AN68" s="112">
        <f t="shared" si="24"/>
        <v>0</v>
      </c>
      <c r="AO68" s="113">
        <f t="shared" si="25"/>
        <v>0</v>
      </c>
      <c r="AP68" s="114">
        <f t="shared" si="26"/>
        <v>0</v>
      </c>
      <c r="AQ68" s="115">
        <f t="shared" si="27"/>
        <v>0</v>
      </c>
      <c r="AR68" s="116">
        <f t="shared" si="28"/>
        <v>0</v>
      </c>
      <c r="AS68" s="117">
        <f t="shared" si="29"/>
        <v>0</v>
      </c>
      <c r="AT68" s="118">
        <f t="shared" si="30"/>
        <v>0</v>
      </c>
    </row>
    <row r="69" spans="1:46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107">
        <f t="shared" si="18"/>
        <v>0</v>
      </c>
      <c r="AI69" s="107">
        <f t="shared" si="19"/>
        <v>0</v>
      </c>
      <c r="AJ69" s="108">
        <f t="shared" si="20"/>
        <v>0</v>
      </c>
      <c r="AK69" s="109">
        <f t="shared" si="21"/>
        <v>0</v>
      </c>
      <c r="AL69" s="110">
        <f t="shared" si="22"/>
        <v>0</v>
      </c>
      <c r="AM69" s="111">
        <f t="shared" si="23"/>
        <v>0</v>
      </c>
      <c r="AN69" s="112">
        <f t="shared" si="24"/>
        <v>0</v>
      </c>
      <c r="AO69" s="113">
        <f t="shared" si="25"/>
        <v>0</v>
      </c>
      <c r="AP69" s="114">
        <f t="shared" si="26"/>
        <v>0</v>
      </c>
      <c r="AQ69" s="115">
        <f t="shared" si="27"/>
        <v>0</v>
      </c>
      <c r="AR69" s="116">
        <f t="shared" si="28"/>
        <v>0</v>
      </c>
      <c r="AS69" s="117">
        <f t="shared" si="29"/>
        <v>0</v>
      </c>
      <c r="AT69" s="118">
        <f t="shared" si="30"/>
        <v>0</v>
      </c>
    </row>
    <row r="70" spans="1:46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 t="s">
        <v>234</v>
      </c>
      <c r="E70" s="75" t="s">
        <v>234</v>
      </c>
      <c r="F70" s="75" t="s">
        <v>234</v>
      </c>
      <c r="G70" s="75" t="s">
        <v>234</v>
      </c>
      <c r="H70" s="75" t="s">
        <v>234</v>
      </c>
      <c r="I70" s="75"/>
      <c r="J70" s="75"/>
      <c r="K70" s="75"/>
      <c r="L70" s="75"/>
      <c r="M70" s="75"/>
      <c r="N70" s="75"/>
      <c r="O70" s="75"/>
      <c r="P70" s="75"/>
      <c r="Q70" s="75"/>
      <c r="R70" s="75" t="s">
        <v>234</v>
      </c>
      <c r="S70" s="75" t="s">
        <v>234</v>
      </c>
      <c r="T70" s="75" t="s">
        <v>234</v>
      </c>
      <c r="U70" s="75" t="s">
        <v>234</v>
      </c>
      <c r="V70" s="75" t="s">
        <v>234</v>
      </c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107">
        <f t="shared" si="18"/>
        <v>0</v>
      </c>
      <c r="AI70" s="107">
        <f t="shared" si="19"/>
        <v>0</v>
      </c>
      <c r="AJ70" s="108">
        <f t="shared" si="20"/>
        <v>0</v>
      </c>
      <c r="AK70" s="109">
        <f t="shared" si="21"/>
        <v>10</v>
      </c>
      <c r="AL70" s="110">
        <f t="shared" si="22"/>
        <v>0</v>
      </c>
      <c r="AM70" s="111">
        <f t="shared" si="23"/>
        <v>0</v>
      </c>
      <c r="AN70" s="112">
        <f t="shared" si="24"/>
        <v>0</v>
      </c>
      <c r="AO70" s="113">
        <f t="shared" si="25"/>
        <v>0</v>
      </c>
      <c r="AP70" s="114">
        <f t="shared" si="26"/>
        <v>0</v>
      </c>
      <c r="AQ70" s="115">
        <f t="shared" si="27"/>
        <v>0</v>
      </c>
      <c r="AR70" s="116">
        <f t="shared" si="28"/>
        <v>0</v>
      </c>
      <c r="AS70" s="117">
        <f t="shared" si="29"/>
        <v>0</v>
      </c>
      <c r="AT70" s="118">
        <f t="shared" si="30"/>
        <v>0</v>
      </c>
    </row>
    <row r="71" spans="1:46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107">
        <f t="shared" si="18"/>
        <v>0</v>
      </c>
      <c r="AI71" s="107">
        <f t="shared" si="19"/>
        <v>0</v>
      </c>
      <c r="AJ71" s="108">
        <f t="shared" si="20"/>
        <v>0</v>
      </c>
      <c r="AK71" s="109">
        <f t="shared" si="21"/>
        <v>0</v>
      </c>
      <c r="AL71" s="110">
        <f t="shared" si="22"/>
        <v>0</v>
      </c>
      <c r="AM71" s="111">
        <f t="shared" si="23"/>
        <v>0</v>
      </c>
      <c r="AN71" s="112">
        <f t="shared" si="24"/>
        <v>0</v>
      </c>
      <c r="AO71" s="113">
        <f t="shared" si="25"/>
        <v>0</v>
      </c>
      <c r="AP71" s="114">
        <f t="shared" si="26"/>
        <v>0</v>
      </c>
      <c r="AQ71" s="115">
        <f t="shared" si="27"/>
        <v>0</v>
      </c>
      <c r="AR71" s="116">
        <f t="shared" si="28"/>
        <v>0</v>
      </c>
      <c r="AS71" s="117">
        <f t="shared" si="29"/>
        <v>0</v>
      </c>
      <c r="AT71" s="118">
        <f t="shared" si="30"/>
        <v>0</v>
      </c>
    </row>
    <row r="72" spans="1:46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107">
        <f t="shared" si="18"/>
        <v>0</v>
      </c>
      <c r="AI72" s="107">
        <f t="shared" si="19"/>
        <v>0</v>
      </c>
      <c r="AJ72" s="108">
        <f t="shared" si="20"/>
        <v>0</v>
      </c>
      <c r="AK72" s="109">
        <f t="shared" si="21"/>
        <v>0</v>
      </c>
      <c r="AL72" s="110">
        <f t="shared" si="22"/>
        <v>0</v>
      </c>
      <c r="AM72" s="111">
        <f t="shared" si="23"/>
        <v>0</v>
      </c>
      <c r="AN72" s="112">
        <f t="shared" si="24"/>
        <v>0</v>
      </c>
      <c r="AO72" s="113">
        <f t="shared" si="25"/>
        <v>0</v>
      </c>
      <c r="AP72" s="114">
        <f t="shared" si="26"/>
        <v>0</v>
      </c>
      <c r="AQ72" s="115">
        <f t="shared" si="27"/>
        <v>0</v>
      </c>
      <c r="AR72" s="116">
        <f t="shared" si="28"/>
        <v>0</v>
      </c>
      <c r="AS72" s="117">
        <f t="shared" si="29"/>
        <v>0</v>
      </c>
      <c r="AT72" s="118">
        <f t="shared" si="30"/>
        <v>0</v>
      </c>
    </row>
    <row r="73" spans="1:46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G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235"/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</row>
    <row r="74" spans="1:46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G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3"/>
    </row>
    <row r="75" spans="1:46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</row>
    <row r="76" spans="1:46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107">
        <f>COUNTIF(D76:AG76,"p")</f>
        <v>0</v>
      </c>
      <c r="AI76" s="107">
        <f>COUNTIF(D76:AG76,"AH")</f>
        <v>0</v>
      </c>
      <c r="AJ76" s="108">
        <f>COUNTIF(D76:AG76,"PC")</f>
        <v>0</v>
      </c>
      <c r="AK76" s="109">
        <f>COUNTIF(D76:AG76,"f")</f>
        <v>0</v>
      </c>
      <c r="AL76" s="110">
        <f>COUNTIF(D76:AG76,"ast")</f>
        <v>0</v>
      </c>
      <c r="AM76" s="111">
        <f>COUNTIF(D76:AG76,"cA")</f>
        <v>0</v>
      </c>
      <c r="AN76" s="112">
        <f>COUNTIF(D76:AG76,"rtt")</f>
        <v>0</v>
      </c>
      <c r="AO76" s="113">
        <f>COUNTIF(D76:AG76,"cex")</f>
        <v>0</v>
      </c>
      <c r="AP76" s="114">
        <f>COUNTIF(D76:AG76,"res")</f>
        <v>0</v>
      </c>
      <c r="AQ76" s="115">
        <f>COUNTIF(D76:AG76,"mA")</f>
        <v>0</v>
      </c>
      <c r="AR76" s="116">
        <f>COUNTIF(D76:AG76,"at")</f>
        <v>0</v>
      </c>
      <c r="AS76" s="117">
        <f>COUNTIF(D76:AG76,"TAD")</f>
        <v>0</v>
      </c>
      <c r="AT76" s="118">
        <f>COUNTIF(D76:AG76,"TP")</f>
        <v>0</v>
      </c>
    </row>
    <row r="77" spans="1:46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107">
        <f>COUNTIF(D77:AG77,"p")</f>
        <v>0</v>
      </c>
      <c r="AI77" s="107">
        <f>COUNTIF(D77:AG77,"AH")</f>
        <v>0</v>
      </c>
      <c r="AJ77" s="108">
        <f>COUNTIF(D77:AG77,"PC")</f>
        <v>0</v>
      </c>
      <c r="AK77" s="109">
        <f>COUNTIF(D77:AG77,"f")</f>
        <v>0</v>
      </c>
      <c r="AL77" s="110">
        <f>COUNTIF(D77:AG77,"ast")</f>
        <v>0</v>
      </c>
      <c r="AM77" s="111">
        <f>COUNTIF(D77:AG77,"cA")</f>
        <v>0</v>
      </c>
      <c r="AN77" s="112">
        <f>COUNTIF(D77:AG77,"rtt")</f>
        <v>0</v>
      </c>
      <c r="AO77" s="113">
        <f>COUNTIF(D77:AG77,"cex")</f>
        <v>0</v>
      </c>
      <c r="AP77" s="114">
        <f>COUNTIF(D77:AG77,"res")</f>
        <v>0</v>
      </c>
      <c r="AQ77" s="115">
        <f>COUNTIF(D77:AG77,"mA")</f>
        <v>0</v>
      </c>
      <c r="AR77" s="116">
        <f>COUNTIF(D77:AG77,"at")</f>
        <v>0</v>
      </c>
      <c r="AS77" s="117">
        <f>COUNTIF(D77:AG77,"TAD")</f>
        <v>0</v>
      </c>
      <c r="AT77" s="118">
        <f>COUNTIF(D77:AG77,"TP")</f>
        <v>0</v>
      </c>
    </row>
    <row r="78" spans="1:46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</row>
    <row r="79" spans="1:46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107">
        <f>COUNTIF(D79:AG79,"p")</f>
        <v>0</v>
      </c>
      <c r="AI79" s="107">
        <f>COUNTIF(D79:AG79,"AH")</f>
        <v>0</v>
      </c>
      <c r="AJ79" s="108">
        <f>COUNTIF(D79:AG79,"PC")</f>
        <v>0</v>
      </c>
      <c r="AK79" s="109">
        <f>COUNTIF(D79:AG79,"f")</f>
        <v>0</v>
      </c>
      <c r="AL79" s="110">
        <f>COUNTIF(D79:AG79,"ast")</f>
        <v>0</v>
      </c>
      <c r="AM79" s="111">
        <f>COUNTIF(D79:AG79,"cA")</f>
        <v>0</v>
      </c>
      <c r="AN79" s="112">
        <f>COUNTIF(D79:AG79,"rtt")</f>
        <v>0</v>
      </c>
      <c r="AO79" s="113">
        <f>COUNTIF(D79:AG79,"cex")</f>
        <v>0</v>
      </c>
      <c r="AP79" s="114">
        <f>COUNTIF(D79:AG79,"res")</f>
        <v>0</v>
      </c>
      <c r="AQ79" s="115">
        <f>COUNTIF(D79:AG79,"mA")</f>
        <v>0</v>
      </c>
      <c r="AR79" s="116">
        <f>COUNTIF(D79:AG79,"at")</f>
        <v>0</v>
      </c>
      <c r="AS79" s="117">
        <f>COUNTIF(D79:AG79,"TAD")</f>
        <v>0</v>
      </c>
      <c r="AT79" s="118">
        <f>COUNTIF(D79:AG79,"TP")</f>
        <v>0</v>
      </c>
    </row>
    <row r="80" spans="1:46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107">
        <f>COUNTIF(D80:AG80,"p")</f>
        <v>0</v>
      </c>
      <c r="AI80" s="107">
        <f>COUNTIF(D80:AG80,"AH")</f>
        <v>0</v>
      </c>
      <c r="AJ80" s="108">
        <f>COUNTIF(D80:AG80,"PC")</f>
        <v>0</v>
      </c>
      <c r="AK80" s="109">
        <f>COUNTIF(D80:AG80,"f")</f>
        <v>0</v>
      </c>
      <c r="AL80" s="110">
        <f>COUNTIF(D80:AG80,"ast")</f>
        <v>0</v>
      </c>
      <c r="AM80" s="111">
        <f>COUNTIF(D80:AG80,"cA")</f>
        <v>0</v>
      </c>
      <c r="AN80" s="112">
        <f>COUNTIF(D80:AG80,"rtt")</f>
        <v>0</v>
      </c>
      <c r="AO80" s="113">
        <f>COUNTIF(D80:AG80,"cex")</f>
        <v>0</v>
      </c>
      <c r="AP80" s="114">
        <f>COUNTIF(D80:AG80,"res")</f>
        <v>0</v>
      </c>
      <c r="AQ80" s="115">
        <f>COUNTIF(D80:AG80,"mA")</f>
        <v>0</v>
      </c>
      <c r="AR80" s="116">
        <f>COUNTIF(D80:AG80,"at")</f>
        <v>0</v>
      </c>
      <c r="AS80" s="117">
        <f>COUNTIF(D80:AG80,"TAD")</f>
        <v>0</v>
      </c>
      <c r="AT80" s="118">
        <f>COUNTIF(D80:AG80,"TP")</f>
        <v>0</v>
      </c>
    </row>
    <row r="82" spans="4:33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</row>
    <row r="83" spans="4:33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</row>
    <row r="84" spans="4:33" ht="15" customHeight="1" thickBot="1" x14ac:dyDescent="0.25">
      <c r="D84" s="101">
        <f>COUNTIF(D11:AG36,"p")</f>
        <v>0</v>
      </c>
      <c r="E84" s="102">
        <f>COUNTIF(D11:AG36,"AH")</f>
        <v>0</v>
      </c>
      <c r="F84" s="102">
        <f>COUNTIF(D11:AG36,"PC")</f>
        <v>1</v>
      </c>
      <c r="G84" s="102">
        <f>COUNTIF(D11:AG36,"f")</f>
        <v>0</v>
      </c>
      <c r="H84" s="102">
        <f>COUNTIF(D11:AG36,"ast")</f>
        <v>6</v>
      </c>
      <c r="I84" s="102">
        <f>COUNTIF(D11:AG36,"ca")</f>
        <v>0</v>
      </c>
      <c r="J84" s="102">
        <f>COUNTIF(D11:AG36,"rtt")</f>
        <v>0</v>
      </c>
      <c r="K84" s="102">
        <f>COUNTIF(D11:AG36,"CEX")</f>
        <v>0</v>
      </c>
      <c r="L84" s="102">
        <f>COUNTIF(D11:AG36,"RES")</f>
        <v>0</v>
      </c>
      <c r="M84" s="102">
        <f>COUNTIF(D11:AG36,"MA")</f>
        <v>0</v>
      </c>
      <c r="N84" s="102">
        <f>COUNTIF(D11:AG36,"AT")</f>
        <v>0</v>
      </c>
      <c r="O84" s="102">
        <f>COUNTIF(D11:AG36,"TAD")</f>
        <v>0</v>
      </c>
      <c r="P84" s="103">
        <f>COUNTIF(D11:AG36,"TP")</f>
        <v>22</v>
      </c>
      <c r="W84" s="104">
        <f>COUNTIF(D50:AG59,"p")</f>
        <v>0</v>
      </c>
      <c r="X84" s="105">
        <f>COUNTIF(D50:AG59,"AH")</f>
        <v>0</v>
      </c>
      <c r="Y84" s="105">
        <f>COUNTIF(D50:AG59,"PC")</f>
        <v>0</v>
      </c>
      <c r="Z84" s="105">
        <f>COUNTIF(D50:AG59,"f")</f>
        <v>0</v>
      </c>
      <c r="AA84" s="105">
        <f>COUNTIF(D50:AG59,"ast")</f>
        <v>0</v>
      </c>
      <c r="AB84" s="105">
        <f>COUNTIF(D50:AG59,"ca")</f>
        <v>0</v>
      </c>
      <c r="AC84" s="105">
        <f>COUNTIF(D50:AG59,"rtt")</f>
        <v>0</v>
      </c>
      <c r="AD84" s="105">
        <f>COUNTIF(D50:AG59,"CEX")</f>
        <v>0</v>
      </c>
      <c r="AE84" s="105">
        <f>COUNTIF(D50:AG59,"RES")</f>
        <v>0</v>
      </c>
      <c r="AF84" s="105">
        <f>COUNTIF(D50:AG59,"MA")</f>
        <v>0</v>
      </c>
      <c r="AG84" s="105">
        <f>COUNTIF(D50:AG59,"AT")</f>
        <v>0</v>
      </c>
    </row>
    <row r="104" spans="4:33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</row>
    <row r="105" spans="4:33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</row>
    <row r="106" spans="4:33" ht="15" customHeight="1" thickBot="1" x14ac:dyDescent="0.25">
      <c r="D106" s="104">
        <f>COUNTIF(D62:AG72,"p")</f>
        <v>0</v>
      </c>
      <c r="E106" s="105">
        <f>COUNTIF(D62:AG72,"AH")</f>
        <v>0</v>
      </c>
      <c r="F106" s="105">
        <f>COUNTIF(D62:AG72,"PC")</f>
        <v>0</v>
      </c>
      <c r="G106" s="105">
        <f>COUNTIF(D62:AG72,"f")</f>
        <v>10</v>
      </c>
      <c r="H106" s="105">
        <f>COUNTIF(D62:AG72,"ast")</f>
        <v>0</v>
      </c>
      <c r="I106" s="105">
        <f>COUNTIF(D62:AG72,"ca")</f>
        <v>0</v>
      </c>
      <c r="J106" s="105">
        <f>COUNTIF(D62:AG72,"rtt")</f>
        <v>0</v>
      </c>
      <c r="K106" s="105">
        <f>COUNTIF(D62:AG72,"CEX")</f>
        <v>0</v>
      </c>
      <c r="L106" s="105">
        <f>COUNTIF(D62:AG72,"RES")</f>
        <v>0</v>
      </c>
      <c r="M106" s="105">
        <f>COUNTIF(D62:AG72,"MA")</f>
        <v>0</v>
      </c>
      <c r="N106" s="105">
        <f>COUNTIF(D62:AG72,"AT")</f>
        <v>0</v>
      </c>
      <c r="O106" s="106">
        <f>COUNTIF(D62:AG72,"TP")</f>
        <v>0</v>
      </c>
      <c r="W106" s="104">
        <f>COUNTIF(D76:AG80,"p")</f>
        <v>0</v>
      </c>
      <c r="X106" s="105">
        <f>COUNTIF(D76:AG80,"AH")</f>
        <v>0</v>
      </c>
      <c r="Y106" s="105">
        <f>COUNTIF(D76:AG80,"PC")</f>
        <v>0</v>
      </c>
      <c r="Z106" s="105">
        <f>COUNTIF(D76:AG80,"f")</f>
        <v>0</v>
      </c>
      <c r="AA106" s="105">
        <f>COUNTIF(D76:AG80,"ast")</f>
        <v>0</v>
      </c>
      <c r="AB106" s="105">
        <f>COUNTIF(D76:AG80,"ca")</f>
        <v>0</v>
      </c>
      <c r="AC106" s="105">
        <f>COUNTIF(D76:AG80,"rtt")</f>
        <v>0</v>
      </c>
      <c r="AD106" s="105">
        <f>COUNTIF(D76:AG80,"CEX")</f>
        <v>0</v>
      </c>
      <c r="AE106" s="105">
        <f>COUNTIF(D76:AG80,"RES")</f>
        <v>0</v>
      </c>
      <c r="AF106" s="105">
        <f>COUNTIF(D76:AG80,"MA")</f>
        <v>0</v>
      </c>
      <c r="AG106" s="105">
        <f>COUNTIF(D76:AG80,"AT")</f>
        <v>0</v>
      </c>
    </row>
  </sheetData>
  <mergeCells count="14">
    <mergeCell ref="AL5:AL9"/>
    <mergeCell ref="D5:AG7"/>
    <mergeCell ref="AH5:AH9"/>
    <mergeCell ref="AI5:AI9"/>
    <mergeCell ref="AJ5:AJ9"/>
    <mergeCell ref="AK5:AK9"/>
    <mergeCell ref="AS5:AS9"/>
    <mergeCell ref="AT5:AT9"/>
    <mergeCell ref="AM5:AM9"/>
    <mergeCell ref="AN5:AN9"/>
    <mergeCell ref="AO5:AO9"/>
    <mergeCell ref="AP5:AP9"/>
    <mergeCell ref="AQ5:AQ9"/>
    <mergeCell ref="AR5:AR9"/>
  </mergeCells>
  <conditionalFormatting sqref="D12:AG12 D14:AG14 D17:AG17 D19:AG19 D21:AG21 D23:AG24 D26:AG29 D31:AG31 D33:AG34 D36:AG48 D50:AG59 D62:AG72 D76:AG77 D79:AG80">
    <cfRule type="containsText" dxfId="161" priority="3" operator="containsText" text="AH">
      <formula>NOT(ISERROR(SEARCH("AH",D12)))</formula>
    </cfRule>
    <cfRule type="containsText" dxfId="160" priority="4" operator="containsText" text="TP">
      <formula>NOT(ISERROR(SEARCH("TP",D12)))</formula>
    </cfRule>
    <cfRule type="containsText" dxfId="159" priority="5" operator="containsText" text="TAD">
      <formula>NOT(ISERROR(SEARCH("TAD",D12)))</formula>
    </cfRule>
    <cfRule type="containsText" dxfId="158" priority="6" operator="containsText" text="AT">
      <formula>NOT(ISERROR(SEARCH("AT",D12)))</formula>
    </cfRule>
    <cfRule type="containsText" dxfId="157" priority="7" operator="containsText" text="MA">
      <formula>NOT(ISERROR(SEARCH("MA",D12)))</formula>
    </cfRule>
    <cfRule type="containsText" dxfId="156" priority="8" operator="containsText" text="RES">
      <formula>NOT(ISERROR(SEARCH("RES",D12)))</formula>
    </cfRule>
    <cfRule type="containsText" dxfId="155" priority="9" operator="containsText" text="CEX">
      <formula>NOT(ISERROR(SEARCH("CEX",D12)))</formula>
    </cfRule>
    <cfRule type="containsText" dxfId="154" priority="10" operator="containsText" text="RTT">
      <formula>NOT(ISERROR(SEARCH("RTT",D12)))</formula>
    </cfRule>
    <cfRule type="beginsWith" dxfId="153" priority="11" operator="beginsWith" text="CA">
      <formula>LEFT(D12,LEN("CA"))="CA"</formula>
    </cfRule>
    <cfRule type="containsText" dxfId="152" priority="12" operator="containsText" text="AST">
      <formula>NOT(ISERROR(SEARCH("AST",D12)))</formula>
    </cfRule>
    <cfRule type="containsText" dxfId="151" priority="13" operator="containsText" text="F">
      <formula>NOT(ISERROR(SEARCH("F",D12)))</formula>
    </cfRule>
    <cfRule type="containsText" dxfId="150" priority="14" operator="containsText" text="PC">
      <formula>NOT(ISERROR(SEARCH("PC",D12)))</formula>
    </cfRule>
    <cfRule type="containsText" dxfId="149" priority="15" operator="containsText" text="P">
      <formula>NOT(ISERROR(SEARCH("P",D12)))</formula>
    </cfRule>
  </conditionalFormatting>
  <conditionalFormatting sqref="D9:AG10 D12:AG12 D14:AG14 D17:AG17 D19:AG19 D21:AG21 D23:AG24 D26:AG29 D31:AG31 D33:AG34 D36:AG37 D40:AG40 D42:AG42 D44:AG45 D47:AG48 D50:AG60 D62:AG74 D76:AG77 D79:AG80">
    <cfRule type="expression" dxfId="148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47" priority="2">
      <formula>OR(D$9=1,D$9=7)</formula>
    </cfRule>
  </conditionalFormatting>
  <dataValidations count="1">
    <dataValidation type="list" showInputMessage="1" showErrorMessage="1" sqref="D12:AG12 D79:AG80 D76:AG77 D62:AG72 D50:AG59 D36:AG48 D33:AG34 D31:AG31 D26:AG29 D23:AG24 D21:AG21 D17:AG19 D14:AG14" xr:uid="{E754AEFD-8F66-49C7-A184-BF773A5F84DE}">
      <formula1>$AH$10:$AT$10</formula1>
    </dataValidation>
  </dataValidation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D6139-8522-4276-8BF5-FDADF3E303E8}">
  <sheetPr codeName="Feuil24">
    <outlinePr summaryRight="0"/>
  </sheetPr>
  <dimension ref="A1:AU106"/>
  <sheetViews>
    <sheetView zoomScaleNormal="100" workbookViewId="0">
      <pane ySplit="10" topLeftCell="A65" activePane="bottomLeft" state="frozen"/>
      <selection activeCell="B1" sqref="B1"/>
      <selection pane="bottomLeft" activeCell="D26" sqref="D26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Menu!D28</f>
        <v>46204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Menu!E28</f>
        <v>46234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46204</v>
      </c>
      <c r="E4" s="55">
        <f t="shared" ref="E4:AH4" si="0">D4+1</f>
        <v>46205</v>
      </c>
      <c r="F4" s="55">
        <f t="shared" si="0"/>
        <v>46206</v>
      </c>
      <c r="G4" s="55">
        <f t="shared" si="0"/>
        <v>46207</v>
      </c>
      <c r="H4" s="55">
        <f t="shared" si="0"/>
        <v>46208</v>
      </c>
      <c r="I4" s="55">
        <f t="shared" si="0"/>
        <v>46209</v>
      </c>
      <c r="J4" s="55">
        <f t="shared" si="0"/>
        <v>46210</v>
      </c>
      <c r="K4" s="55">
        <f t="shared" si="0"/>
        <v>46211</v>
      </c>
      <c r="L4" s="55">
        <f t="shared" si="0"/>
        <v>46212</v>
      </c>
      <c r="M4" s="55">
        <f t="shared" si="0"/>
        <v>46213</v>
      </c>
      <c r="N4" s="55">
        <f t="shared" si="0"/>
        <v>46214</v>
      </c>
      <c r="O4" s="55">
        <f t="shared" si="0"/>
        <v>46215</v>
      </c>
      <c r="P4" s="55">
        <f t="shared" si="0"/>
        <v>46216</v>
      </c>
      <c r="Q4" s="55">
        <f t="shared" si="0"/>
        <v>46217</v>
      </c>
      <c r="R4" s="55">
        <f t="shared" si="0"/>
        <v>46218</v>
      </c>
      <c r="S4" s="55">
        <f t="shared" si="0"/>
        <v>46219</v>
      </c>
      <c r="T4" s="55">
        <f t="shared" si="0"/>
        <v>46220</v>
      </c>
      <c r="U4" s="55">
        <f t="shared" si="0"/>
        <v>46221</v>
      </c>
      <c r="V4" s="55">
        <f t="shared" si="0"/>
        <v>46222</v>
      </c>
      <c r="W4" s="55">
        <f t="shared" si="0"/>
        <v>46223</v>
      </c>
      <c r="X4" s="55">
        <f t="shared" si="0"/>
        <v>46224</v>
      </c>
      <c r="Y4" s="55">
        <f t="shared" si="0"/>
        <v>46225</v>
      </c>
      <c r="Z4" s="55">
        <f t="shared" si="0"/>
        <v>46226</v>
      </c>
      <c r="AA4" s="55">
        <f t="shared" si="0"/>
        <v>46227</v>
      </c>
      <c r="AB4" s="55">
        <f t="shared" si="0"/>
        <v>46228</v>
      </c>
      <c r="AC4" s="55">
        <f t="shared" si="0"/>
        <v>46229</v>
      </c>
      <c r="AD4" s="55">
        <f t="shared" si="0"/>
        <v>46230</v>
      </c>
      <c r="AE4" s="55">
        <f t="shared" si="0"/>
        <v>46231</v>
      </c>
      <c r="AF4" s="55">
        <f t="shared" si="0"/>
        <v>46232</v>
      </c>
      <c r="AG4" s="55">
        <f t="shared" si="0"/>
        <v>46233</v>
      </c>
      <c r="AH4" s="55">
        <f t="shared" si="0"/>
        <v>46234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juillet-2026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4</v>
      </c>
      <c r="E9" s="74">
        <f t="shared" si="1"/>
        <v>5</v>
      </c>
      <c r="F9" s="74">
        <f t="shared" si="1"/>
        <v>6</v>
      </c>
      <c r="G9" s="74">
        <f t="shared" si="1"/>
        <v>7</v>
      </c>
      <c r="H9" s="74">
        <f t="shared" si="1"/>
        <v>1</v>
      </c>
      <c r="I9" s="74">
        <f t="shared" si="1"/>
        <v>2</v>
      </c>
      <c r="J9" s="74">
        <f t="shared" si="1"/>
        <v>3</v>
      </c>
      <c r="K9" s="74">
        <f t="shared" si="1"/>
        <v>4</v>
      </c>
      <c r="L9" s="74">
        <f t="shared" si="1"/>
        <v>5</v>
      </c>
      <c r="M9" s="74">
        <f t="shared" si="1"/>
        <v>6</v>
      </c>
      <c r="N9" s="74">
        <f t="shared" si="1"/>
        <v>7</v>
      </c>
      <c r="O9" s="74">
        <f t="shared" si="1"/>
        <v>1</v>
      </c>
      <c r="P9" s="74">
        <f t="shared" si="1"/>
        <v>2</v>
      </c>
      <c r="Q9" s="74">
        <f t="shared" si="1"/>
        <v>3</v>
      </c>
      <c r="R9" s="74">
        <f t="shared" si="1"/>
        <v>4</v>
      </c>
      <c r="S9" s="74">
        <f t="shared" si="1"/>
        <v>5</v>
      </c>
      <c r="T9" s="74">
        <f t="shared" si="1"/>
        <v>6</v>
      </c>
      <c r="U9" s="74">
        <f t="shared" si="1"/>
        <v>7</v>
      </c>
      <c r="V9" s="74">
        <f t="shared" si="1"/>
        <v>1</v>
      </c>
      <c r="W9" s="74">
        <f t="shared" si="1"/>
        <v>2</v>
      </c>
      <c r="X9" s="74">
        <f t="shared" si="1"/>
        <v>3</v>
      </c>
      <c r="Y9" s="74">
        <f t="shared" si="1"/>
        <v>4</v>
      </c>
      <c r="Z9" s="74">
        <f t="shared" si="1"/>
        <v>5</v>
      </c>
      <c r="AA9" s="74">
        <f t="shared" si="1"/>
        <v>6</v>
      </c>
      <c r="AB9" s="74">
        <f t="shared" si="1"/>
        <v>7</v>
      </c>
      <c r="AC9" s="74">
        <f t="shared" si="1"/>
        <v>1</v>
      </c>
      <c r="AD9" s="74">
        <f t="shared" si="1"/>
        <v>2</v>
      </c>
      <c r="AE9" s="74">
        <f t="shared" si="1"/>
        <v>3</v>
      </c>
      <c r="AF9" s="74">
        <f t="shared" si="1"/>
        <v>4</v>
      </c>
      <c r="AG9" s="74">
        <f t="shared" si="1"/>
        <v>5</v>
      </c>
      <c r="AH9" s="179">
        <f t="shared" si="1"/>
        <v>6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 t="s">
        <v>233</v>
      </c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1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 t="s">
        <v>233</v>
      </c>
      <c r="N19" s="78"/>
      <c r="O19" s="78"/>
      <c r="P19" s="78" t="s">
        <v>233</v>
      </c>
      <c r="Q19" s="78"/>
      <c r="R19" s="78"/>
      <c r="S19" s="78"/>
      <c r="T19" s="78"/>
      <c r="U19" s="78"/>
      <c r="V19" s="78"/>
      <c r="W19" s="78" t="s">
        <v>233</v>
      </c>
      <c r="X19" s="78" t="s">
        <v>233</v>
      </c>
      <c r="Y19" s="78" t="s">
        <v>233</v>
      </c>
      <c r="Z19" s="78" t="s">
        <v>233</v>
      </c>
      <c r="AA19" s="78" t="s">
        <v>233</v>
      </c>
      <c r="AB19" s="78"/>
      <c r="AC19" s="78"/>
      <c r="AD19" s="78" t="s">
        <v>233</v>
      </c>
      <c r="AE19" s="78" t="s">
        <v>233</v>
      </c>
      <c r="AF19" s="78" t="s">
        <v>233</v>
      </c>
      <c r="AG19" s="78" t="s">
        <v>233</v>
      </c>
      <c r="AH19" s="78" t="s">
        <v>233</v>
      </c>
      <c r="AI19" s="183">
        <f>COUNTIF(D19:AG19,"p")</f>
        <v>0</v>
      </c>
      <c r="AJ19" s="183">
        <f>COUNTIF(D19:AH19,"AH")</f>
        <v>0</v>
      </c>
      <c r="AK19" s="184">
        <f>COUNTIF(D19:AG19,"PC")</f>
        <v>11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 t="s">
        <v>233</v>
      </c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1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 t="s">
        <v>233</v>
      </c>
      <c r="J59" s="75" t="s">
        <v>233</v>
      </c>
      <c r="K59" s="75" t="s">
        <v>233</v>
      </c>
      <c r="L59" s="75" t="s">
        <v>233</v>
      </c>
      <c r="M59" s="75" t="s">
        <v>233</v>
      </c>
      <c r="N59" s="75"/>
      <c r="O59" s="75"/>
      <c r="P59" s="75" t="s">
        <v>233</v>
      </c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6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13</v>
      </c>
      <c r="G84" s="102">
        <f>COUNTIF(D11:AH36,"f")</f>
        <v>0</v>
      </c>
      <c r="H84" s="102">
        <f>COUNTIF(D11:AH36,"ast")</f>
        <v>0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7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0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1:AH21 D23:AH24 D26:AH29 D31:AH31 D33:AH34 D36:AH48 D50:AH59 D62:AH72 D76:AH77 D79:AH80">
    <cfRule type="containsText" dxfId="146" priority="3" operator="containsText" text="AH">
      <formula>NOT(ISERROR(SEARCH("AH",D12)))</formula>
    </cfRule>
    <cfRule type="containsText" dxfId="145" priority="4" operator="containsText" text="TP">
      <formula>NOT(ISERROR(SEARCH("TP",D12)))</formula>
    </cfRule>
    <cfRule type="containsText" dxfId="144" priority="5" operator="containsText" text="TAD">
      <formula>NOT(ISERROR(SEARCH("TAD",D12)))</formula>
    </cfRule>
    <cfRule type="containsText" dxfId="143" priority="6" operator="containsText" text="AT">
      <formula>NOT(ISERROR(SEARCH("AT",D12)))</formula>
    </cfRule>
    <cfRule type="containsText" dxfId="142" priority="7" operator="containsText" text="MA">
      <formula>NOT(ISERROR(SEARCH("MA",D12)))</formula>
    </cfRule>
    <cfRule type="containsText" dxfId="141" priority="8" operator="containsText" text="RES">
      <formula>NOT(ISERROR(SEARCH("RES",D12)))</formula>
    </cfRule>
    <cfRule type="containsText" dxfId="140" priority="9" operator="containsText" text="CEX">
      <formula>NOT(ISERROR(SEARCH("CEX",D12)))</formula>
    </cfRule>
    <cfRule type="containsText" dxfId="139" priority="10" operator="containsText" text="RTT">
      <formula>NOT(ISERROR(SEARCH("RTT",D12)))</formula>
    </cfRule>
    <cfRule type="beginsWith" dxfId="138" priority="11" operator="beginsWith" text="CA">
      <formula>LEFT(D12,LEN("CA"))="CA"</formula>
    </cfRule>
    <cfRule type="containsText" dxfId="137" priority="12" operator="containsText" text="AST">
      <formula>NOT(ISERROR(SEARCH("AST",D12)))</formula>
    </cfRule>
    <cfRule type="containsText" dxfId="136" priority="13" operator="containsText" text="F">
      <formula>NOT(ISERROR(SEARCH("F",D12)))</formula>
    </cfRule>
    <cfRule type="containsText" dxfId="135" priority="14" operator="containsText" text="PC">
      <formula>NOT(ISERROR(SEARCH("PC",D12)))</formula>
    </cfRule>
    <cfRule type="containsText" dxfId="134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13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32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702DA83D-09F1-46DB-9B2D-3B448519168E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50856-7CDE-463A-920D-5E4BDB0236AF}">
  <sheetPr codeName="Feuil25">
    <outlinePr summaryRight="0"/>
  </sheetPr>
  <dimension ref="A1:AU106"/>
  <sheetViews>
    <sheetView zoomScaleNormal="100" workbookViewId="0">
      <pane ySplit="10" topLeftCell="A65" activePane="bottomLeft" state="frozen"/>
      <selection activeCell="B1" sqref="B1"/>
      <selection pane="bottomLeft" activeCell="F19" sqref="F19:J19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Menu!D29</f>
        <v>46235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Menu!E29</f>
        <v>46265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46235</v>
      </c>
      <c r="E4" s="55">
        <f t="shared" ref="E4:AH4" si="0">D4+1</f>
        <v>46236</v>
      </c>
      <c r="F4" s="55">
        <f t="shared" si="0"/>
        <v>46237</v>
      </c>
      <c r="G4" s="55">
        <f t="shared" si="0"/>
        <v>46238</v>
      </c>
      <c r="H4" s="55">
        <f t="shared" si="0"/>
        <v>46239</v>
      </c>
      <c r="I4" s="55">
        <f t="shared" si="0"/>
        <v>46240</v>
      </c>
      <c r="J4" s="55">
        <f t="shared" si="0"/>
        <v>46241</v>
      </c>
      <c r="K4" s="55">
        <f t="shared" si="0"/>
        <v>46242</v>
      </c>
      <c r="L4" s="55">
        <f t="shared" si="0"/>
        <v>46243</v>
      </c>
      <c r="M4" s="55">
        <f t="shared" si="0"/>
        <v>46244</v>
      </c>
      <c r="N4" s="55">
        <f t="shared" si="0"/>
        <v>46245</v>
      </c>
      <c r="O4" s="55">
        <f t="shared" si="0"/>
        <v>46246</v>
      </c>
      <c r="P4" s="55">
        <f t="shared" si="0"/>
        <v>46247</v>
      </c>
      <c r="Q4" s="55">
        <f t="shared" si="0"/>
        <v>46248</v>
      </c>
      <c r="R4" s="55">
        <f t="shared" si="0"/>
        <v>46249</v>
      </c>
      <c r="S4" s="55">
        <f t="shared" si="0"/>
        <v>46250</v>
      </c>
      <c r="T4" s="55">
        <f t="shared" si="0"/>
        <v>46251</v>
      </c>
      <c r="U4" s="55">
        <f t="shared" si="0"/>
        <v>46252</v>
      </c>
      <c r="V4" s="55">
        <f t="shared" si="0"/>
        <v>46253</v>
      </c>
      <c r="W4" s="55">
        <f t="shared" si="0"/>
        <v>46254</v>
      </c>
      <c r="X4" s="55">
        <f t="shared" si="0"/>
        <v>46255</v>
      </c>
      <c r="Y4" s="55">
        <f t="shared" si="0"/>
        <v>46256</v>
      </c>
      <c r="Z4" s="55">
        <f t="shared" si="0"/>
        <v>46257</v>
      </c>
      <c r="AA4" s="55">
        <f t="shared" si="0"/>
        <v>46258</v>
      </c>
      <c r="AB4" s="55">
        <f t="shared" si="0"/>
        <v>46259</v>
      </c>
      <c r="AC4" s="55">
        <f t="shared" si="0"/>
        <v>46260</v>
      </c>
      <c r="AD4" s="55">
        <f t="shared" si="0"/>
        <v>46261</v>
      </c>
      <c r="AE4" s="55">
        <f t="shared" si="0"/>
        <v>46262</v>
      </c>
      <c r="AF4" s="55">
        <f t="shared" si="0"/>
        <v>46263</v>
      </c>
      <c r="AG4" s="55">
        <f t="shared" si="0"/>
        <v>46264</v>
      </c>
      <c r="AH4" s="55">
        <f t="shared" si="0"/>
        <v>46265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août-2026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7</v>
      </c>
      <c r="E9" s="74">
        <f t="shared" si="1"/>
        <v>1</v>
      </c>
      <c r="F9" s="74">
        <f t="shared" si="1"/>
        <v>2</v>
      </c>
      <c r="G9" s="74">
        <f t="shared" si="1"/>
        <v>3</v>
      </c>
      <c r="H9" s="74">
        <f t="shared" si="1"/>
        <v>4</v>
      </c>
      <c r="I9" s="74">
        <f t="shared" si="1"/>
        <v>5</v>
      </c>
      <c r="J9" s="74">
        <f t="shared" si="1"/>
        <v>6</v>
      </c>
      <c r="K9" s="74">
        <f t="shared" si="1"/>
        <v>7</v>
      </c>
      <c r="L9" s="74">
        <f t="shared" si="1"/>
        <v>1</v>
      </c>
      <c r="M9" s="74">
        <f t="shared" si="1"/>
        <v>2</v>
      </c>
      <c r="N9" s="74">
        <f t="shared" si="1"/>
        <v>3</v>
      </c>
      <c r="O9" s="74">
        <f t="shared" si="1"/>
        <v>4</v>
      </c>
      <c r="P9" s="74">
        <f t="shared" si="1"/>
        <v>5</v>
      </c>
      <c r="Q9" s="74">
        <f t="shared" si="1"/>
        <v>6</v>
      </c>
      <c r="R9" s="74">
        <f t="shared" si="1"/>
        <v>7</v>
      </c>
      <c r="S9" s="74">
        <f t="shared" si="1"/>
        <v>1</v>
      </c>
      <c r="T9" s="74">
        <f t="shared" si="1"/>
        <v>2</v>
      </c>
      <c r="U9" s="74">
        <f t="shared" si="1"/>
        <v>3</v>
      </c>
      <c r="V9" s="74">
        <f t="shared" si="1"/>
        <v>4</v>
      </c>
      <c r="W9" s="74">
        <f t="shared" si="1"/>
        <v>5</v>
      </c>
      <c r="X9" s="74">
        <f t="shared" si="1"/>
        <v>6</v>
      </c>
      <c r="Y9" s="74">
        <f t="shared" si="1"/>
        <v>7</v>
      </c>
      <c r="Z9" s="74">
        <f t="shared" si="1"/>
        <v>1</v>
      </c>
      <c r="AA9" s="74">
        <f t="shared" si="1"/>
        <v>2</v>
      </c>
      <c r="AB9" s="74">
        <f t="shared" si="1"/>
        <v>3</v>
      </c>
      <c r="AC9" s="74">
        <f t="shared" si="1"/>
        <v>4</v>
      </c>
      <c r="AD9" s="74">
        <f t="shared" si="1"/>
        <v>5</v>
      </c>
      <c r="AE9" s="74">
        <f t="shared" si="1"/>
        <v>6</v>
      </c>
      <c r="AF9" s="74">
        <f t="shared" si="1"/>
        <v>7</v>
      </c>
      <c r="AG9" s="74">
        <f t="shared" si="1"/>
        <v>1</v>
      </c>
      <c r="AH9" s="179">
        <f t="shared" si="1"/>
        <v>2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 t="s">
        <v>233</v>
      </c>
      <c r="G14" s="78" t="s">
        <v>233</v>
      </c>
      <c r="H14" s="78" t="s">
        <v>233</v>
      </c>
      <c r="I14" s="78" t="s">
        <v>233</v>
      </c>
      <c r="J14" s="78" t="s">
        <v>233</v>
      </c>
      <c r="K14" s="78"/>
      <c r="L14" s="78"/>
      <c r="M14" s="78" t="s">
        <v>233</v>
      </c>
      <c r="N14" s="78" t="s">
        <v>233</v>
      </c>
      <c r="O14" s="78" t="s">
        <v>233</v>
      </c>
      <c r="P14" s="78" t="s">
        <v>233</v>
      </c>
      <c r="Q14" s="78" t="s">
        <v>233</v>
      </c>
      <c r="R14" s="78"/>
      <c r="S14" s="78"/>
      <c r="T14" s="78" t="s">
        <v>233</v>
      </c>
      <c r="U14" s="78" t="s">
        <v>233</v>
      </c>
      <c r="V14" s="78" t="s">
        <v>233</v>
      </c>
      <c r="W14" s="78" t="s">
        <v>233</v>
      </c>
      <c r="X14" s="78" t="s">
        <v>233</v>
      </c>
      <c r="Y14" s="78"/>
      <c r="Z14" s="78"/>
      <c r="AA14" s="78" t="s">
        <v>233</v>
      </c>
      <c r="AB14" s="78" t="s">
        <v>233</v>
      </c>
      <c r="AC14" s="78" t="s">
        <v>233</v>
      </c>
      <c r="AD14" s="78" t="s">
        <v>233</v>
      </c>
      <c r="AE14" s="78" t="s">
        <v>233</v>
      </c>
      <c r="AF14" s="78"/>
      <c r="AG14" s="78"/>
      <c r="AH14" s="78" t="s">
        <v>233</v>
      </c>
      <c r="AI14" s="183">
        <f>COUNTIF(D14:AG14,"p")</f>
        <v>0</v>
      </c>
      <c r="AJ14" s="183">
        <f>COUNTIF(D14:AH14,"AH")</f>
        <v>0</v>
      </c>
      <c r="AK14" s="184">
        <f>COUNTIF(D14:AG14,"PC")</f>
        <v>20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 t="s">
        <v>233</v>
      </c>
      <c r="G19" s="78" t="s">
        <v>233</v>
      </c>
      <c r="H19" s="78" t="s">
        <v>233</v>
      </c>
      <c r="I19" s="78" t="s">
        <v>233</v>
      </c>
      <c r="J19" s="78" t="s">
        <v>233</v>
      </c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5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 t="s">
        <v>233</v>
      </c>
      <c r="G53" s="75" t="s">
        <v>233</v>
      </c>
      <c r="H53" s="75" t="s">
        <v>233</v>
      </c>
      <c r="I53" s="75" t="s">
        <v>233</v>
      </c>
      <c r="J53" s="75" t="s">
        <v>233</v>
      </c>
      <c r="K53" s="75"/>
      <c r="L53" s="75"/>
      <c r="M53" s="75" t="s">
        <v>233</v>
      </c>
      <c r="N53" s="75" t="s">
        <v>233</v>
      </c>
      <c r="O53" s="75" t="s">
        <v>233</v>
      </c>
      <c r="P53" s="75" t="s">
        <v>233</v>
      </c>
      <c r="Q53" s="75" t="s">
        <v>233</v>
      </c>
      <c r="R53" s="75"/>
      <c r="S53" s="75"/>
      <c r="T53" s="75" t="s">
        <v>233</v>
      </c>
      <c r="U53" s="75" t="s">
        <v>233</v>
      </c>
      <c r="V53" s="75" t="s">
        <v>233</v>
      </c>
      <c r="W53" s="75" t="s">
        <v>233</v>
      </c>
      <c r="X53" s="75" t="s">
        <v>233</v>
      </c>
      <c r="Y53" s="75"/>
      <c r="Z53" s="75"/>
      <c r="AA53" s="75" t="s">
        <v>233</v>
      </c>
      <c r="AB53" s="75" t="s">
        <v>233</v>
      </c>
      <c r="AC53" s="75" t="s">
        <v>233</v>
      </c>
      <c r="AD53" s="75" t="s">
        <v>233</v>
      </c>
      <c r="AE53" s="75" t="s">
        <v>233</v>
      </c>
      <c r="AF53" s="75"/>
      <c r="AG53" s="75"/>
      <c r="AH53" s="75" t="s">
        <v>233</v>
      </c>
      <c r="AI53" s="107">
        <f t="shared" si="4"/>
        <v>0</v>
      </c>
      <c r="AJ53" s="107">
        <f t="shared" si="5"/>
        <v>0</v>
      </c>
      <c r="AK53" s="108">
        <f t="shared" si="6"/>
        <v>20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 t="s">
        <v>233</v>
      </c>
      <c r="N59" s="75" t="s">
        <v>233</v>
      </c>
      <c r="O59" s="75" t="s">
        <v>233</v>
      </c>
      <c r="P59" s="75" t="s">
        <v>233</v>
      </c>
      <c r="Q59" s="75" t="s">
        <v>233</v>
      </c>
      <c r="R59" s="75"/>
      <c r="S59" s="75"/>
      <c r="T59" s="75" t="s">
        <v>233</v>
      </c>
      <c r="U59" s="75" t="s">
        <v>233</v>
      </c>
      <c r="V59" s="75" t="s">
        <v>233</v>
      </c>
      <c r="W59" s="75" t="s">
        <v>233</v>
      </c>
      <c r="X59" s="75" t="s">
        <v>233</v>
      </c>
      <c r="Y59" s="75"/>
      <c r="Z59" s="75"/>
      <c r="AA59" s="75" t="s">
        <v>233</v>
      </c>
      <c r="AB59" s="75" t="s">
        <v>233</v>
      </c>
      <c r="AC59" s="75" t="s">
        <v>233</v>
      </c>
      <c r="AD59" s="75" t="s">
        <v>233</v>
      </c>
      <c r="AE59" s="75" t="s">
        <v>233</v>
      </c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15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26</v>
      </c>
      <c r="G84" s="102">
        <f>COUNTIF(D11:AH36,"f")</f>
        <v>0</v>
      </c>
      <c r="H84" s="102">
        <f>COUNTIF(D11:AH36,"ast")</f>
        <v>0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36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0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1:AH21 D23:AH24 D26:AH29 D31:AH31 D33:AH34 D36:AH48 D50:AH59 D62:AH72 D76:AH77 D79:AH80">
    <cfRule type="containsText" dxfId="131" priority="3" operator="containsText" text="AH">
      <formula>NOT(ISERROR(SEARCH("AH",D12)))</formula>
    </cfRule>
    <cfRule type="containsText" dxfId="130" priority="4" operator="containsText" text="TP">
      <formula>NOT(ISERROR(SEARCH("TP",D12)))</formula>
    </cfRule>
    <cfRule type="containsText" dxfId="129" priority="5" operator="containsText" text="TAD">
      <formula>NOT(ISERROR(SEARCH("TAD",D12)))</formula>
    </cfRule>
    <cfRule type="containsText" dxfId="128" priority="6" operator="containsText" text="AT">
      <formula>NOT(ISERROR(SEARCH("AT",D12)))</formula>
    </cfRule>
    <cfRule type="containsText" dxfId="127" priority="7" operator="containsText" text="MA">
      <formula>NOT(ISERROR(SEARCH("MA",D12)))</formula>
    </cfRule>
    <cfRule type="containsText" dxfId="126" priority="8" operator="containsText" text="RES">
      <formula>NOT(ISERROR(SEARCH("RES",D12)))</formula>
    </cfRule>
    <cfRule type="containsText" dxfId="125" priority="9" operator="containsText" text="CEX">
      <formula>NOT(ISERROR(SEARCH("CEX",D12)))</formula>
    </cfRule>
    <cfRule type="containsText" dxfId="124" priority="10" operator="containsText" text="RTT">
      <formula>NOT(ISERROR(SEARCH("RTT",D12)))</formula>
    </cfRule>
    <cfRule type="beginsWith" dxfId="123" priority="11" operator="beginsWith" text="CA">
      <formula>LEFT(D12,LEN("CA"))="CA"</formula>
    </cfRule>
    <cfRule type="containsText" dxfId="122" priority="12" operator="containsText" text="AST">
      <formula>NOT(ISERROR(SEARCH("AST",D12)))</formula>
    </cfRule>
    <cfRule type="containsText" dxfId="121" priority="13" operator="containsText" text="F">
      <formula>NOT(ISERROR(SEARCH("F",D12)))</formula>
    </cfRule>
    <cfRule type="containsText" dxfId="120" priority="14" operator="containsText" text="PC">
      <formula>NOT(ISERROR(SEARCH("PC",D12)))</formula>
    </cfRule>
    <cfRule type="containsText" dxfId="119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118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17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ADD1BFE0-28D4-49CC-96A9-9BFF6D232E62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0B837-7DF7-4307-8A9F-05D09D1E0623}">
  <sheetPr codeName="Feuil26">
    <outlinePr summaryRight="0"/>
  </sheetPr>
  <dimension ref="A1:AT106"/>
  <sheetViews>
    <sheetView zoomScaleNormal="100" workbookViewId="0">
      <pane ySplit="10" topLeftCell="A68" activePane="bottomLeft" state="frozen"/>
      <selection activeCell="B1" sqref="B1"/>
      <selection pane="bottomLeft" activeCell="AB19" sqref="AB19:AG19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3" width="4.7109375" style="3" customWidth="1"/>
    <col min="34" max="46" width="3.7109375" style="180" customWidth="1"/>
    <col min="47" max="47" width="17.42578125" style="3" customWidth="1"/>
    <col min="48" max="16384" width="17.42578125" style="3"/>
  </cols>
  <sheetData>
    <row r="1" spans="1:46" ht="15" customHeight="1" x14ac:dyDescent="0.2">
      <c r="A1" s="49">
        <f>Menu!D30</f>
        <v>46266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</row>
    <row r="2" spans="1:46" x14ac:dyDescent="0.2">
      <c r="A2" s="49">
        <f>Menu!E30</f>
        <v>46295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</row>
    <row r="3" spans="1:46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</row>
    <row r="4" spans="1:46" ht="12.75" hidden="1" customHeight="1" x14ac:dyDescent="0.2">
      <c r="A4" s="49"/>
      <c r="C4" s="51"/>
      <c r="D4" s="55">
        <f>A1</f>
        <v>46266</v>
      </c>
      <c r="E4" s="55">
        <f t="shared" ref="E4:AG4" si="0">D4+1</f>
        <v>46267</v>
      </c>
      <c r="F4" s="55">
        <f t="shared" si="0"/>
        <v>46268</v>
      </c>
      <c r="G4" s="55">
        <f t="shared" si="0"/>
        <v>46269</v>
      </c>
      <c r="H4" s="55">
        <f t="shared" si="0"/>
        <v>46270</v>
      </c>
      <c r="I4" s="55">
        <f t="shared" si="0"/>
        <v>46271</v>
      </c>
      <c r="J4" s="55">
        <f t="shared" si="0"/>
        <v>46272</v>
      </c>
      <c r="K4" s="55">
        <f t="shared" si="0"/>
        <v>46273</v>
      </c>
      <c r="L4" s="55">
        <f t="shared" si="0"/>
        <v>46274</v>
      </c>
      <c r="M4" s="55">
        <f t="shared" si="0"/>
        <v>46275</v>
      </c>
      <c r="N4" s="55">
        <f t="shared" si="0"/>
        <v>46276</v>
      </c>
      <c r="O4" s="55">
        <f t="shared" si="0"/>
        <v>46277</v>
      </c>
      <c r="P4" s="55">
        <f t="shared" si="0"/>
        <v>46278</v>
      </c>
      <c r="Q4" s="55">
        <f t="shared" si="0"/>
        <v>46279</v>
      </c>
      <c r="R4" s="55">
        <f t="shared" si="0"/>
        <v>46280</v>
      </c>
      <c r="S4" s="55">
        <f t="shared" si="0"/>
        <v>46281</v>
      </c>
      <c r="T4" s="55">
        <f t="shared" si="0"/>
        <v>46282</v>
      </c>
      <c r="U4" s="55">
        <f t="shared" si="0"/>
        <v>46283</v>
      </c>
      <c r="V4" s="55">
        <f t="shared" si="0"/>
        <v>46284</v>
      </c>
      <c r="W4" s="55">
        <f t="shared" si="0"/>
        <v>46285</v>
      </c>
      <c r="X4" s="55">
        <f t="shared" si="0"/>
        <v>46286</v>
      </c>
      <c r="Y4" s="55">
        <f t="shared" si="0"/>
        <v>46287</v>
      </c>
      <c r="Z4" s="55">
        <f t="shared" si="0"/>
        <v>46288</v>
      </c>
      <c r="AA4" s="55">
        <f t="shared" si="0"/>
        <v>46289</v>
      </c>
      <c r="AB4" s="55">
        <f t="shared" si="0"/>
        <v>46290</v>
      </c>
      <c r="AC4" s="55">
        <f t="shared" si="0"/>
        <v>46291</v>
      </c>
      <c r="AD4" s="55">
        <f t="shared" si="0"/>
        <v>46292</v>
      </c>
      <c r="AE4" s="55">
        <f t="shared" si="0"/>
        <v>46293</v>
      </c>
      <c r="AF4" s="55">
        <f t="shared" si="0"/>
        <v>46294</v>
      </c>
      <c r="AG4" s="55">
        <f t="shared" si="0"/>
        <v>46295</v>
      </c>
    </row>
    <row r="5" spans="1:46" s="81" customFormat="1" ht="20.100000000000001" customHeight="1" x14ac:dyDescent="0.2">
      <c r="A5" s="178"/>
      <c r="B5" s="178"/>
      <c r="C5" s="178"/>
      <c r="D5" s="358" t="str">
        <f>TEXT(A1,"mmmm-aaaa")</f>
        <v>septembre-2026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63" t="s">
        <v>218</v>
      </c>
      <c r="AI5" s="363" t="s">
        <v>219</v>
      </c>
      <c r="AJ5" s="362" t="s">
        <v>220</v>
      </c>
      <c r="AK5" s="364" t="s">
        <v>221</v>
      </c>
      <c r="AL5" s="365" t="s">
        <v>222</v>
      </c>
      <c r="AM5" s="370" t="s">
        <v>223</v>
      </c>
      <c r="AN5" s="367" t="s">
        <v>224</v>
      </c>
      <c r="AO5" s="366" t="s">
        <v>225</v>
      </c>
      <c r="AP5" s="360" t="s">
        <v>226</v>
      </c>
      <c r="AQ5" s="355" t="s">
        <v>227</v>
      </c>
      <c r="AR5" s="368" t="s">
        <v>228</v>
      </c>
      <c r="AS5" s="369" t="s">
        <v>229</v>
      </c>
      <c r="AT5" s="361" t="s">
        <v>230</v>
      </c>
    </row>
    <row r="6" spans="1:46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6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</row>
    <row r="7" spans="1:46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6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</row>
    <row r="8" spans="1:46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356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</row>
    <row r="9" spans="1:46" ht="15" customHeight="1" x14ac:dyDescent="0.2">
      <c r="A9" s="61"/>
      <c r="B9" s="62"/>
      <c r="C9" s="61"/>
      <c r="D9" s="74">
        <f t="shared" ref="D9:AG9" si="1">IFERROR(WEEKDAY(D4),"")</f>
        <v>3</v>
      </c>
      <c r="E9" s="74">
        <f t="shared" si="1"/>
        <v>4</v>
      </c>
      <c r="F9" s="74">
        <f t="shared" si="1"/>
        <v>5</v>
      </c>
      <c r="G9" s="74">
        <f t="shared" si="1"/>
        <v>6</v>
      </c>
      <c r="H9" s="74">
        <f t="shared" si="1"/>
        <v>7</v>
      </c>
      <c r="I9" s="74">
        <f t="shared" si="1"/>
        <v>1</v>
      </c>
      <c r="J9" s="74">
        <f t="shared" si="1"/>
        <v>2</v>
      </c>
      <c r="K9" s="74">
        <f t="shared" si="1"/>
        <v>3</v>
      </c>
      <c r="L9" s="74">
        <f t="shared" si="1"/>
        <v>4</v>
      </c>
      <c r="M9" s="74">
        <f t="shared" si="1"/>
        <v>5</v>
      </c>
      <c r="N9" s="74">
        <f t="shared" si="1"/>
        <v>6</v>
      </c>
      <c r="O9" s="74">
        <f t="shared" si="1"/>
        <v>7</v>
      </c>
      <c r="P9" s="74">
        <f t="shared" si="1"/>
        <v>1</v>
      </c>
      <c r="Q9" s="74">
        <f t="shared" si="1"/>
        <v>2</v>
      </c>
      <c r="R9" s="74">
        <f t="shared" si="1"/>
        <v>3</v>
      </c>
      <c r="S9" s="74">
        <f t="shared" si="1"/>
        <v>4</v>
      </c>
      <c r="T9" s="74">
        <f t="shared" si="1"/>
        <v>5</v>
      </c>
      <c r="U9" s="74">
        <f t="shared" si="1"/>
        <v>6</v>
      </c>
      <c r="V9" s="74">
        <f t="shared" si="1"/>
        <v>7</v>
      </c>
      <c r="W9" s="74">
        <f t="shared" si="1"/>
        <v>1</v>
      </c>
      <c r="X9" s="74">
        <f t="shared" si="1"/>
        <v>2</v>
      </c>
      <c r="Y9" s="74">
        <f t="shared" si="1"/>
        <v>3</v>
      </c>
      <c r="Z9" s="74">
        <f t="shared" si="1"/>
        <v>4</v>
      </c>
      <c r="AA9" s="74">
        <f t="shared" si="1"/>
        <v>5</v>
      </c>
      <c r="AB9" s="74">
        <f t="shared" si="1"/>
        <v>6</v>
      </c>
      <c r="AC9" s="74">
        <f t="shared" si="1"/>
        <v>7</v>
      </c>
      <c r="AD9" s="74">
        <f t="shared" si="1"/>
        <v>1</v>
      </c>
      <c r="AE9" s="74">
        <f t="shared" si="1"/>
        <v>2</v>
      </c>
      <c r="AF9" s="74">
        <f t="shared" si="1"/>
        <v>3</v>
      </c>
      <c r="AG9" s="74">
        <f t="shared" si="1"/>
        <v>4</v>
      </c>
      <c r="AH9" s="357"/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</row>
    <row r="10" spans="1:46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G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107" t="s">
        <v>231</v>
      </c>
      <c r="AI10" s="107" t="s">
        <v>232</v>
      </c>
      <c r="AJ10" s="108" t="s">
        <v>233</v>
      </c>
      <c r="AK10" s="109" t="s">
        <v>234</v>
      </c>
      <c r="AL10" s="110" t="s">
        <v>235</v>
      </c>
      <c r="AM10" s="111" t="s">
        <v>236</v>
      </c>
      <c r="AN10" s="112" t="s">
        <v>224</v>
      </c>
      <c r="AO10" s="113" t="s">
        <v>237</v>
      </c>
      <c r="AP10" s="114" t="s">
        <v>238</v>
      </c>
      <c r="AQ10" s="115" t="s">
        <v>239</v>
      </c>
      <c r="AR10" s="116" t="s">
        <v>240</v>
      </c>
      <c r="AS10" s="117" t="s">
        <v>241</v>
      </c>
      <c r="AT10" s="118" t="s">
        <v>242</v>
      </c>
    </row>
    <row r="11" spans="1:46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2"/>
    </row>
    <row r="12" spans="1:46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183">
        <f>COUNTIF(D12:AG12,"p")</f>
        <v>0</v>
      </c>
      <c r="AI12" s="183">
        <f>COUNTIF(D12:AG12,"AH")</f>
        <v>0</v>
      </c>
      <c r="AJ12" s="184">
        <f>COUNTIF(D12:AG12,"PC")</f>
        <v>0</v>
      </c>
      <c r="AK12" s="185">
        <f>COUNTIF(D12:AG12,"f")</f>
        <v>0</v>
      </c>
      <c r="AL12" s="186">
        <f>COUNTIF(D12:AG12,"ast")</f>
        <v>0</v>
      </c>
      <c r="AM12" s="187">
        <f>COUNTIF(D12:AG12,"cA")</f>
        <v>0</v>
      </c>
      <c r="AN12" s="188">
        <f>COUNTIF(D12:AG12,"rtt")</f>
        <v>0</v>
      </c>
      <c r="AO12" s="189">
        <f>COUNTIF(D12:AG12,"cex")</f>
        <v>0</v>
      </c>
      <c r="AP12" s="190">
        <f>COUNTIF(D12:AG12,"res")</f>
        <v>0</v>
      </c>
      <c r="AQ12" s="191">
        <f>COUNTIF(D12:AG12,"mA")</f>
        <v>0</v>
      </c>
      <c r="AR12" s="192">
        <f>COUNTIF(D12:AG12,"at")</f>
        <v>0</v>
      </c>
      <c r="AS12" s="193">
        <f>COUNTIF(D12:AG12,"TAD")</f>
        <v>0</v>
      </c>
      <c r="AT12" s="194">
        <f>COUNTIF(D12:AG12,"TP")</f>
        <v>0</v>
      </c>
    </row>
    <row r="13" spans="1:46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6"/>
    </row>
    <row r="14" spans="1:46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183">
        <f>COUNTIF(D14:AG14,"p")</f>
        <v>0</v>
      </c>
      <c r="AI14" s="183">
        <f>COUNTIF(D14:AG14,"AH")</f>
        <v>0</v>
      </c>
      <c r="AJ14" s="184">
        <f>COUNTIF(D14:AG14,"PC")</f>
        <v>0</v>
      </c>
      <c r="AK14" s="185">
        <f>COUNTIF(D14:AG14,"f")</f>
        <v>0</v>
      </c>
      <c r="AL14" s="186">
        <f>COUNTIF(D14:AG14,"ast")</f>
        <v>0</v>
      </c>
      <c r="AM14" s="187">
        <f>COUNTIF(D14:AG14,"cA")</f>
        <v>0</v>
      </c>
      <c r="AN14" s="188">
        <f>COUNTIF(D14:AG14,"rtt")</f>
        <v>0</v>
      </c>
      <c r="AO14" s="189">
        <f>COUNTIF(D14:AG14,"cex")</f>
        <v>0</v>
      </c>
      <c r="AP14" s="190">
        <f>COUNTIF(D14:AG14,"res")</f>
        <v>0</v>
      </c>
      <c r="AQ14" s="191">
        <f>COUNTIF(D14:AG14,"mA")</f>
        <v>0</v>
      </c>
      <c r="AR14" s="192">
        <f>COUNTIF(D14:AG14,"at")</f>
        <v>0</v>
      </c>
      <c r="AS14" s="193">
        <f>COUNTIF(D14:AG14,"TAD")</f>
        <v>0</v>
      </c>
      <c r="AT14" s="194">
        <f>COUNTIF(D14:AG14,"TP")</f>
        <v>0</v>
      </c>
    </row>
    <row r="15" spans="1:46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6"/>
    </row>
    <row r="16" spans="1:46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1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2"/>
    </row>
    <row r="17" spans="1:46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183">
        <f>COUNTIF(D17:AG17,"p")</f>
        <v>0</v>
      </c>
      <c r="AI17" s="183">
        <f>COUNTIF(D17:AG17,"AH")</f>
        <v>0</v>
      </c>
      <c r="AJ17" s="184">
        <f>COUNTIF(D17:AG17,"PC")</f>
        <v>0</v>
      </c>
      <c r="AK17" s="185">
        <f>COUNTIF(D17:AG17,"f")</f>
        <v>0</v>
      </c>
      <c r="AL17" s="186">
        <f>COUNTIF(D17:AG17,"ast")</f>
        <v>0</v>
      </c>
      <c r="AM17" s="187">
        <f>COUNTIF(D17:AG17,"cA")</f>
        <v>0</v>
      </c>
      <c r="AN17" s="188">
        <f>COUNTIF(D17:AG17,"rtt")</f>
        <v>0</v>
      </c>
      <c r="AO17" s="189">
        <f>COUNTIF(D17:AG17,"cex")</f>
        <v>0</v>
      </c>
      <c r="AP17" s="190">
        <f>COUNTIF(D17:AG17,"res")</f>
        <v>0</v>
      </c>
      <c r="AQ17" s="191">
        <f>COUNTIF(D17:AG17,"mA")</f>
        <v>0</v>
      </c>
      <c r="AR17" s="192">
        <f>COUNTIF(D17:AG17,"at")</f>
        <v>0</v>
      </c>
      <c r="AS17" s="193">
        <f>COUNTIF(D17:AG17,"TAD")</f>
        <v>0</v>
      </c>
      <c r="AT17" s="194">
        <f>COUNTIF(D17:AG17,"TP")</f>
        <v>0</v>
      </c>
    </row>
    <row r="18" spans="1:46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8"/>
    </row>
    <row r="19" spans="1:46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 t="s">
        <v>233</v>
      </c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 t="s">
        <v>235</v>
      </c>
      <c r="AC19" s="78"/>
      <c r="AD19" s="78"/>
      <c r="AE19" s="78" t="s">
        <v>235</v>
      </c>
      <c r="AF19" s="78" t="s">
        <v>235</v>
      </c>
      <c r="AG19" s="78" t="s">
        <v>235</v>
      </c>
      <c r="AH19" s="183">
        <f>COUNTIF(D19:AG19,"p")</f>
        <v>0</v>
      </c>
      <c r="AI19" s="183">
        <f>COUNTIF(D19:AG19,"AH")</f>
        <v>0</v>
      </c>
      <c r="AJ19" s="184">
        <f>COUNTIF(D19:AG19,"PC")</f>
        <v>1</v>
      </c>
      <c r="AK19" s="185">
        <f>COUNTIF(D19:AG19,"f")</f>
        <v>0</v>
      </c>
      <c r="AL19" s="186">
        <f>COUNTIF(D19:AG19,"ast")</f>
        <v>4</v>
      </c>
      <c r="AM19" s="187">
        <f>COUNTIF(D19:AG19,"cA")</f>
        <v>0</v>
      </c>
      <c r="AN19" s="188">
        <f>COUNTIF(D19:AG19,"rtt")</f>
        <v>0</v>
      </c>
      <c r="AO19" s="189">
        <f>COUNTIF(D19:AG19,"cex")</f>
        <v>0</v>
      </c>
      <c r="AP19" s="190">
        <f>COUNTIF(D19:AG19,"res")</f>
        <v>0</v>
      </c>
      <c r="AQ19" s="191">
        <f>COUNTIF(D19:AG19,"mA")</f>
        <v>0</v>
      </c>
      <c r="AR19" s="192">
        <f>COUNTIF(D19:AG19,"at")</f>
        <v>0</v>
      </c>
      <c r="AS19" s="193">
        <f>COUNTIF(D19:AG19,"TAD")</f>
        <v>0</v>
      </c>
      <c r="AT19" s="194">
        <f>COUNTIF(D19:AG19,"TP")</f>
        <v>0</v>
      </c>
    </row>
    <row r="20" spans="1:46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8"/>
    </row>
    <row r="21" spans="1:46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183">
        <f>COUNTIF(D21:AG21,"p")</f>
        <v>0</v>
      </c>
      <c r="AI21" s="183">
        <f>COUNTIF(D21:AG21,"AH")</f>
        <v>0</v>
      </c>
      <c r="AJ21" s="184">
        <f>COUNTIF(D21:AG21,"PC")</f>
        <v>0</v>
      </c>
      <c r="AK21" s="185">
        <f>COUNTIF(D21:AG21,"f")</f>
        <v>0</v>
      </c>
      <c r="AL21" s="186">
        <f>COUNTIF(D21:AG21,"ast")</f>
        <v>0</v>
      </c>
      <c r="AM21" s="187">
        <f>COUNTIF(D21:AG21,"cA")</f>
        <v>0</v>
      </c>
      <c r="AN21" s="188">
        <f>COUNTIF(D21:AG21,"rtt")</f>
        <v>0</v>
      </c>
      <c r="AO21" s="189">
        <f>COUNTIF(D21:AG21,"cex")</f>
        <v>0</v>
      </c>
      <c r="AP21" s="190">
        <f>COUNTIF(D21:AG21,"res")</f>
        <v>0</v>
      </c>
      <c r="AQ21" s="191">
        <f>COUNTIF(D21:AG21,"mA")</f>
        <v>0</v>
      </c>
      <c r="AR21" s="192">
        <f>COUNTIF(D21:AG21,"at")</f>
        <v>0</v>
      </c>
      <c r="AS21" s="193">
        <f>COUNTIF(D21:AG21,"TAD")</f>
        <v>0</v>
      </c>
      <c r="AT21" s="194">
        <f>COUNTIF(D21:AG21,"TP")</f>
        <v>0</v>
      </c>
    </row>
    <row r="22" spans="1:46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8"/>
    </row>
    <row r="23" spans="1:46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203">
        <f>COUNTIF(D23:AG23,"p")</f>
        <v>0</v>
      </c>
      <c r="AI23" s="203">
        <f>COUNTIF(D23:AG23,"AH")</f>
        <v>0</v>
      </c>
      <c r="AJ23" s="204">
        <f>COUNTIF(D23:AG23,"PC")</f>
        <v>0</v>
      </c>
      <c r="AK23" s="205">
        <f>COUNTIF(D23:AG23,"f")</f>
        <v>0</v>
      </c>
      <c r="AL23" s="206">
        <f>COUNTIF(D23:AG23,"ast")</f>
        <v>0</v>
      </c>
      <c r="AM23" s="207">
        <f>COUNTIF(D23:AG23,"cA")</f>
        <v>0</v>
      </c>
      <c r="AN23" s="208">
        <f>COUNTIF(D23:AG23,"rtt")</f>
        <v>0</v>
      </c>
      <c r="AO23" s="209">
        <f>COUNTIF(D23:AG23,"cex")</f>
        <v>0</v>
      </c>
      <c r="AP23" s="210">
        <f>COUNTIF(D23:AG23,"res")</f>
        <v>0</v>
      </c>
      <c r="AQ23" s="211">
        <f>COUNTIF(D23:AG23,"mA")</f>
        <v>0</v>
      </c>
      <c r="AR23" s="212">
        <f>COUNTIF(D23:AG23,"at")</f>
        <v>0</v>
      </c>
      <c r="AS23" s="213">
        <f>COUNTIF(D23:AG23,"TAD")</f>
        <v>0</v>
      </c>
      <c r="AT23" s="214">
        <f>COUNTIF(D23:AG23,"TP")</f>
        <v>0</v>
      </c>
    </row>
    <row r="24" spans="1:46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215">
        <f>COUNTIF(D24:AG24,"p")</f>
        <v>0</v>
      </c>
      <c r="AI24" s="215">
        <f>COUNTIF(D24:AG24,"AH")</f>
        <v>0</v>
      </c>
      <c r="AJ24" s="216">
        <f>COUNTIF(D24:AG24,"PC")</f>
        <v>0</v>
      </c>
      <c r="AK24" s="217">
        <f>COUNTIF(D24:AG24,"f")</f>
        <v>0</v>
      </c>
      <c r="AL24" s="218">
        <f>COUNTIF(D24:AG24,"ast")</f>
        <v>0</v>
      </c>
      <c r="AM24" s="219">
        <f>COUNTIF(D24:AG24,"cA")</f>
        <v>0</v>
      </c>
      <c r="AN24" s="220">
        <f>COUNTIF(D24:AG24,"rtt")</f>
        <v>0</v>
      </c>
      <c r="AO24" s="221">
        <f>COUNTIF(D24:AG24,"cex")</f>
        <v>0</v>
      </c>
      <c r="AP24" s="222">
        <f>COUNTIF(D24:AG24,"res")</f>
        <v>0</v>
      </c>
      <c r="AQ24" s="223">
        <f>COUNTIF(D24:AG24,"mA")</f>
        <v>0</v>
      </c>
      <c r="AR24" s="224">
        <f>COUNTIF(D24:AG24,"at")</f>
        <v>0</v>
      </c>
      <c r="AS24" s="225">
        <f>COUNTIF(D24:AG24,"TAD")</f>
        <v>0</v>
      </c>
      <c r="AT24" s="226">
        <f>COUNTIF(D24:AG24,"TP")</f>
        <v>0</v>
      </c>
    </row>
    <row r="25" spans="1:46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8"/>
    </row>
    <row r="26" spans="1:46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203">
        <f>COUNTIF(D26:AG26,"p")</f>
        <v>0</v>
      </c>
      <c r="AI26" s="203">
        <f>COUNTIF(D26:AG26,"AH")</f>
        <v>0</v>
      </c>
      <c r="AJ26" s="204">
        <f>COUNTIF(D26:AG26,"PC")</f>
        <v>0</v>
      </c>
      <c r="AK26" s="205">
        <f>COUNTIF(D26:AG26,"f")</f>
        <v>0</v>
      </c>
      <c r="AL26" s="206">
        <f>COUNTIF(D26:AG26,"ast")</f>
        <v>0</v>
      </c>
      <c r="AM26" s="207">
        <f>COUNTIF(D26:AG26,"cA")</f>
        <v>0</v>
      </c>
      <c r="AN26" s="208">
        <f>COUNTIF(D26:AG26,"rtt")</f>
        <v>0</v>
      </c>
      <c r="AO26" s="209">
        <f>COUNTIF(D26:AG26,"cex")</f>
        <v>0</v>
      </c>
      <c r="AP26" s="210">
        <f>COUNTIF(D26:AG26,"res")</f>
        <v>0</v>
      </c>
      <c r="AQ26" s="211">
        <f>COUNTIF(D26:AG26,"mA")</f>
        <v>0</v>
      </c>
      <c r="AR26" s="212">
        <f>COUNTIF(D26:AG26,"at")</f>
        <v>0</v>
      </c>
      <c r="AS26" s="213">
        <f>COUNTIF(D26:AG26,"TAD")</f>
        <v>0</v>
      </c>
      <c r="AT26" s="214">
        <f>COUNTIF(D26:AG26,"TP")</f>
        <v>0</v>
      </c>
    </row>
    <row r="27" spans="1:46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107">
        <f>COUNTIF(D27:AG27,"p")</f>
        <v>0</v>
      </c>
      <c r="AI27" s="107">
        <f>COUNTIF(D27:AG27,"AH")</f>
        <v>0</v>
      </c>
      <c r="AJ27" s="108">
        <f>COUNTIF(D27:AG27,"PC")</f>
        <v>0</v>
      </c>
      <c r="AK27" s="109">
        <f>COUNTIF(D27:AG27,"f")</f>
        <v>0</v>
      </c>
      <c r="AL27" s="110">
        <f>COUNTIF(D27:AG27,"ast")</f>
        <v>0</v>
      </c>
      <c r="AM27" s="111">
        <f>COUNTIF(D27:AG27,"cA")</f>
        <v>0</v>
      </c>
      <c r="AN27" s="112">
        <f>COUNTIF(D27:AG27,"rtt")</f>
        <v>0</v>
      </c>
      <c r="AO27" s="113">
        <f>COUNTIF(D27:AG27,"cex")</f>
        <v>0</v>
      </c>
      <c r="AP27" s="114">
        <f>COUNTIF(D27:AG27,"res")</f>
        <v>0</v>
      </c>
      <c r="AQ27" s="115">
        <f>COUNTIF(D27:AG27,"mA")</f>
        <v>0</v>
      </c>
      <c r="AR27" s="116">
        <f>COUNTIF(D27:AG27,"at")</f>
        <v>0</v>
      </c>
      <c r="AS27" s="117">
        <f>COUNTIF(D27:AG27,"TAD")</f>
        <v>0</v>
      </c>
      <c r="AT27" s="118">
        <f>COUNTIF(D27:AG27,"TP")</f>
        <v>0</v>
      </c>
    </row>
    <row r="28" spans="1:46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107">
        <f>COUNTIF(D28:AG28,"p")</f>
        <v>0</v>
      </c>
      <c r="AI28" s="107">
        <f>COUNTIF(D28:AG28,"AH")</f>
        <v>0</v>
      </c>
      <c r="AJ28" s="108">
        <f>COUNTIF(D28:AG28,"PC")</f>
        <v>0</v>
      </c>
      <c r="AK28" s="109">
        <f>COUNTIF(D28:AG28,"f")</f>
        <v>0</v>
      </c>
      <c r="AL28" s="110">
        <f>COUNTIF(D28:AG28,"ast")</f>
        <v>0</v>
      </c>
      <c r="AM28" s="111">
        <f>COUNTIF(D28:AG28,"cA")</f>
        <v>0</v>
      </c>
      <c r="AN28" s="112">
        <f>COUNTIF(D28:AG28,"rtt")</f>
        <v>0</v>
      </c>
      <c r="AO28" s="113">
        <f>COUNTIF(D28:AG28,"cex")</f>
        <v>0</v>
      </c>
      <c r="AP28" s="114">
        <f>COUNTIF(D28:AG28,"res")</f>
        <v>0</v>
      </c>
      <c r="AQ28" s="115">
        <f>COUNTIF(D28:AG28,"mA")</f>
        <v>0</v>
      </c>
      <c r="AR28" s="116">
        <f>COUNTIF(D28:AG28,"at")</f>
        <v>0</v>
      </c>
      <c r="AS28" s="117">
        <f>COUNTIF(D28:AG28,"TAD")</f>
        <v>0</v>
      </c>
      <c r="AT28" s="118">
        <f>COUNTIF(D28:AG28,"TP")</f>
        <v>0</v>
      </c>
    </row>
    <row r="29" spans="1:46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215">
        <f>COUNTIF(D29:AG29,"p")</f>
        <v>0</v>
      </c>
      <c r="AI29" s="215">
        <f>COUNTIF(D29:AG29,"AH")</f>
        <v>0</v>
      </c>
      <c r="AJ29" s="216">
        <f>COUNTIF(D29:AG29,"PC")</f>
        <v>0</v>
      </c>
      <c r="AK29" s="217">
        <f>COUNTIF(D29:AG29,"f")</f>
        <v>0</v>
      </c>
      <c r="AL29" s="218">
        <f>COUNTIF(D29:AG29,"ast")</f>
        <v>0</v>
      </c>
      <c r="AM29" s="219">
        <f>COUNTIF(D29:AG29,"cA")</f>
        <v>0</v>
      </c>
      <c r="AN29" s="220">
        <f>COUNTIF(D29:AG29,"rtt")</f>
        <v>0</v>
      </c>
      <c r="AO29" s="221">
        <f>COUNTIF(D29:AG29,"cex")</f>
        <v>0</v>
      </c>
      <c r="AP29" s="222">
        <f>COUNTIF(D29:AG29,"res")</f>
        <v>0</v>
      </c>
      <c r="AQ29" s="223">
        <f>COUNTIF(D29:AG29,"mA")</f>
        <v>0</v>
      </c>
      <c r="AR29" s="224">
        <f>COUNTIF(D29:AG29,"at")</f>
        <v>0</v>
      </c>
      <c r="AS29" s="225">
        <f>COUNTIF(D29:AG29,"TAD")</f>
        <v>0</v>
      </c>
      <c r="AT29" s="226">
        <f>COUNTIF(D29:AG29,"TP")</f>
        <v>0</v>
      </c>
    </row>
    <row r="30" spans="1:46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229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30"/>
    </row>
    <row r="31" spans="1:46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183">
        <f>COUNTIF(D31:AG31,"p")</f>
        <v>0</v>
      </c>
      <c r="AI31" s="183">
        <f>COUNTIF(D31:AG31,"AH")</f>
        <v>0</v>
      </c>
      <c r="AJ31" s="184">
        <f>COUNTIF(D31:AG31,"PC")</f>
        <v>0</v>
      </c>
      <c r="AK31" s="185">
        <f>COUNTIF(D31:AG31,"f")</f>
        <v>0</v>
      </c>
      <c r="AL31" s="186">
        <f>COUNTIF(D31:AG31,"ast")</f>
        <v>0</v>
      </c>
      <c r="AM31" s="187">
        <f>COUNTIF(D31:AG31,"cA")</f>
        <v>0</v>
      </c>
      <c r="AN31" s="188">
        <f>COUNTIF(D31:AG31,"rtt")</f>
        <v>0</v>
      </c>
      <c r="AO31" s="189">
        <f>COUNTIF(D31:AG31,"cex")</f>
        <v>0</v>
      </c>
      <c r="AP31" s="190">
        <f>COUNTIF(D31:AG31,"res")</f>
        <v>0</v>
      </c>
      <c r="AQ31" s="191">
        <f>COUNTIF(D31:AG31,"mA")</f>
        <v>0</v>
      </c>
      <c r="AR31" s="192">
        <f>COUNTIF(D31:AG31,"at")</f>
        <v>0</v>
      </c>
      <c r="AS31" s="193">
        <f>COUNTIF(D31:AG31,"TAD")</f>
        <v>0</v>
      </c>
      <c r="AT31" s="194">
        <f>COUNTIF(D31:AG31,"TP")</f>
        <v>0</v>
      </c>
    </row>
    <row r="32" spans="1:46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229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30"/>
    </row>
    <row r="33" spans="1:46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203">
        <f>COUNTIF(D33:AG33,"p")</f>
        <v>0</v>
      </c>
      <c r="AI33" s="203">
        <f>COUNTIF(D33:AG33,"AH")</f>
        <v>0</v>
      </c>
      <c r="AJ33" s="204">
        <f>COUNTIF(D33:AG33,"PC")</f>
        <v>0</v>
      </c>
      <c r="AK33" s="205">
        <f>COUNTIF(D33:AG33,"f")</f>
        <v>0</v>
      </c>
      <c r="AL33" s="206">
        <f>COUNTIF(D33:AG33,"ast")</f>
        <v>0</v>
      </c>
      <c r="AM33" s="207">
        <f>COUNTIF(D33:AG33,"cA")</f>
        <v>0</v>
      </c>
      <c r="AN33" s="208">
        <f>COUNTIF(D33:AG33,"rtt")</f>
        <v>0</v>
      </c>
      <c r="AO33" s="209">
        <f>COUNTIF(D33:AG33,"cex")</f>
        <v>0</v>
      </c>
      <c r="AP33" s="210">
        <f>COUNTIF(D33:AG33,"res")</f>
        <v>0</v>
      </c>
      <c r="AQ33" s="211">
        <f>COUNTIF(D33:AG33,"mA")</f>
        <v>0</v>
      </c>
      <c r="AR33" s="212">
        <f>COUNTIF(D33:AG33,"at")</f>
        <v>0</v>
      </c>
      <c r="AS33" s="213">
        <f>COUNTIF(D33:AG33,"TAD")</f>
        <v>0</v>
      </c>
      <c r="AT33" s="214">
        <f>COUNTIF(D33:AG33,"TP")</f>
        <v>0</v>
      </c>
    </row>
    <row r="34" spans="1:46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215">
        <f>COUNTIF(D34:AG34,"p")</f>
        <v>0</v>
      </c>
      <c r="AI34" s="215">
        <f>COUNTIF(D34:AG34,"AH")</f>
        <v>0</v>
      </c>
      <c r="AJ34" s="216">
        <f>COUNTIF(D34:AG34,"PC")</f>
        <v>0</v>
      </c>
      <c r="AK34" s="217">
        <f>COUNTIF(D34:AG34,"f")</f>
        <v>0</v>
      </c>
      <c r="AL34" s="218">
        <f>COUNTIF(D34:AG34,"ast")</f>
        <v>0</v>
      </c>
      <c r="AM34" s="219">
        <f>COUNTIF(D34:AG34,"cA")</f>
        <v>0</v>
      </c>
      <c r="AN34" s="220">
        <f>COUNTIF(D34:AG34,"rtt")</f>
        <v>0</v>
      </c>
      <c r="AO34" s="221">
        <f>COUNTIF(D34:AG34,"cex")</f>
        <v>0</v>
      </c>
      <c r="AP34" s="222">
        <f>COUNTIF(D34:AG34,"res")</f>
        <v>0</v>
      </c>
      <c r="AQ34" s="223">
        <f>COUNTIF(D34:AG34,"mA")</f>
        <v>0</v>
      </c>
      <c r="AR34" s="224">
        <f>COUNTIF(D34:AG34,"at")</f>
        <v>0</v>
      </c>
      <c r="AS34" s="225">
        <f>COUNTIF(D34:AG34,"TAD")</f>
        <v>0</v>
      </c>
      <c r="AT34" s="226">
        <f>COUNTIF(D34:AG34,"TP")</f>
        <v>0</v>
      </c>
    </row>
    <row r="35" spans="1:46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229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30"/>
    </row>
    <row r="36" spans="1:46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203">
        <f>COUNTIF(D36:AG36,"p")</f>
        <v>0</v>
      </c>
      <c r="AI36" s="203">
        <f>COUNTIF(D36:AG36,"AH")</f>
        <v>0</v>
      </c>
      <c r="AJ36" s="204">
        <f>COUNTIF(D36:AG36,"PC")</f>
        <v>0</v>
      </c>
      <c r="AK36" s="205">
        <f>COUNTIF(D36:AG36,"f")</f>
        <v>0</v>
      </c>
      <c r="AL36" s="206">
        <f>COUNTIF(D36:AG36,"ast")</f>
        <v>0</v>
      </c>
      <c r="AM36" s="207">
        <f>COUNTIF(D36:AG36,"cA")</f>
        <v>0</v>
      </c>
      <c r="AN36" s="208">
        <f>COUNTIF(D36:AG36,"rtt")</f>
        <v>0</v>
      </c>
      <c r="AO36" s="209">
        <f>COUNTIF(D36:AG36,"cex")</f>
        <v>0</v>
      </c>
      <c r="AP36" s="210">
        <f>COUNTIF(D36:AG36,"res")</f>
        <v>0</v>
      </c>
      <c r="AQ36" s="211">
        <f>COUNTIF(D36:AG36,"mA")</f>
        <v>0</v>
      </c>
      <c r="AR36" s="212">
        <f>COUNTIF(D36:AG36,"at")</f>
        <v>0</v>
      </c>
      <c r="AS36" s="213">
        <f>COUNTIF(D36:AG36,"TAD")</f>
        <v>0</v>
      </c>
      <c r="AT36" s="214">
        <f>COUNTIF(D36:AG36,"TP")</f>
        <v>0</v>
      </c>
    </row>
    <row r="37" spans="1:46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G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</row>
    <row r="38" spans="1:46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8"/>
    </row>
    <row r="39" spans="1:46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200"/>
    </row>
    <row r="40" spans="1:46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183">
        <f>COUNTIF(D40:AG40,"p")</f>
        <v>0</v>
      </c>
      <c r="AI40" s="183">
        <f>COUNTIF(D40:AG40,"AH")</f>
        <v>0</v>
      </c>
      <c r="AJ40" s="184">
        <f>COUNTIF(D40:AG40,"PC")</f>
        <v>0</v>
      </c>
      <c r="AK40" s="185">
        <f>COUNTIF(D40:AG40,"f")</f>
        <v>0</v>
      </c>
      <c r="AL40" s="186">
        <f>COUNTIF(D40:AG40,"ast")</f>
        <v>0</v>
      </c>
      <c r="AM40" s="187">
        <f>COUNTIF(D40:AG40,"cA")</f>
        <v>0</v>
      </c>
      <c r="AN40" s="188">
        <f>COUNTIF(D40:AG40,"rtt")</f>
        <v>0</v>
      </c>
      <c r="AO40" s="189">
        <f>COUNTIF(D40:AG40,"cex")</f>
        <v>0</v>
      </c>
      <c r="AP40" s="190">
        <f>COUNTIF(D40:AG40,"res")</f>
        <v>0</v>
      </c>
      <c r="AQ40" s="191">
        <f>COUNTIF(D40:AG40,"mA")</f>
        <v>0</v>
      </c>
      <c r="AR40" s="192">
        <f>COUNTIF(D40:AG40,"at")</f>
        <v>0</v>
      </c>
      <c r="AS40" s="193">
        <f>COUNTIF(D40:AG40,"TAD")</f>
        <v>0</v>
      </c>
      <c r="AT40" s="194">
        <f>COUNTIF(D40:AG40,"TP")</f>
        <v>0</v>
      </c>
    </row>
    <row r="41" spans="1:46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2"/>
    </row>
    <row r="42" spans="1:46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183">
        <f>COUNTIF(D42:AG42,"p")</f>
        <v>0</v>
      </c>
      <c r="AI42" s="183">
        <f>COUNTIF(D42:AG42,"AH")</f>
        <v>0</v>
      </c>
      <c r="AJ42" s="184">
        <f>COUNTIF(D42:AG42,"PC")</f>
        <v>0</v>
      </c>
      <c r="AK42" s="185">
        <f>COUNTIF(D42:AG42,"f")</f>
        <v>0</v>
      </c>
      <c r="AL42" s="186">
        <f>COUNTIF(D42:AG42,"ast")</f>
        <v>0</v>
      </c>
      <c r="AM42" s="187">
        <f>COUNTIF(D42:AG42,"cA")</f>
        <v>0</v>
      </c>
      <c r="AN42" s="188">
        <f>COUNTIF(D42:AG42,"rtt")</f>
        <v>0</v>
      </c>
      <c r="AO42" s="189">
        <f>COUNTIF(D42:AG42,"cex")</f>
        <v>0</v>
      </c>
      <c r="AP42" s="190">
        <f>COUNTIF(D42:AG42,"res")</f>
        <v>0</v>
      </c>
      <c r="AQ42" s="191">
        <f>COUNTIF(D42:AG42,"mA")</f>
        <v>0</v>
      </c>
      <c r="AR42" s="192">
        <f>COUNTIF(D42:AG42,"at")</f>
        <v>0</v>
      </c>
      <c r="AS42" s="193">
        <f>COUNTIF(D42:AG42,"TAD")</f>
        <v>0</v>
      </c>
      <c r="AT42" s="194">
        <f>COUNTIF(D42:AG42,"TP")</f>
        <v>0</v>
      </c>
    </row>
    <row r="43" spans="1:46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2"/>
    </row>
    <row r="44" spans="1:46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203">
        <f>COUNTIF(D44:AG44,"p")</f>
        <v>0</v>
      </c>
      <c r="AI44" s="203">
        <f>COUNTIF(D44:AG44,"AH")</f>
        <v>0</v>
      </c>
      <c r="AJ44" s="204">
        <f>COUNTIF(D44:AG44,"PC")</f>
        <v>0</v>
      </c>
      <c r="AK44" s="205">
        <f>COUNTIF(D44:AG44,"f")</f>
        <v>0</v>
      </c>
      <c r="AL44" s="206">
        <f>COUNTIF(D44:AG44,"ast")</f>
        <v>0</v>
      </c>
      <c r="AM44" s="207">
        <f>COUNTIF(D44:AG44,"cA")</f>
        <v>0</v>
      </c>
      <c r="AN44" s="208">
        <f>COUNTIF(D44:AG44,"rtt")</f>
        <v>0</v>
      </c>
      <c r="AO44" s="209">
        <f>COUNTIF(D44:AG44,"cex")</f>
        <v>0</v>
      </c>
      <c r="AP44" s="210">
        <f>COUNTIF(D44:AG44,"res")</f>
        <v>0</v>
      </c>
      <c r="AQ44" s="211">
        <f>COUNTIF(D44:AG44,"mA")</f>
        <v>0</v>
      </c>
      <c r="AR44" s="212">
        <f>COUNTIF(D44:AG44,"at")</f>
        <v>0</v>
      </c>
      <c r="AS44" s="213">
        <f>COUNTIF(D44:AG44,"TAD")</f>
        <v>0</v>
      </c>
      <c r="AT44" s="214">
        <f>COUNTIF(D44:AG44,"TP")</f>
        <v>0</v>
      </c>
    </row>
    <row r="45" spans="1:46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215">
        <f>COUNTIF(D45:AG45,"p")</f>
        <v>0</v>
      </c>
      <c r="AI45" s="215">
        <f>COUNTIF(D45:AG45,"AH")</f>
        <v>0</v>
      </c>
      <c r="AJ45" s="216">
        <f>COUNTIF(D45:AG45,"PC")</f>
        <v>0</v>
      </c>
      <c r="AK45" s="217">
        <f>COUNTIF(D45:AG45,"f")</f>
        <v>0</v>
      </c>
      <c r="AL45" s="218">
        <f>COUNTIF(D45:AG45,"ast")</f>
        <v>0</v>
      </c>
      <c r="AM45" s="219">
        <f>COUNTIF(D45:AG45,"cA")</f>
        <v>0</v>
      </c>
      <c r="AN45" s="220">
        <f>COUNTIF(D45:AG45,"rtt")</f>
        <v>0</v>
      </c>
      <c r="AO45" s="221">
        <f>COUNTIF(D45:AG45,"cex")</f>
        <v>0</v>
      </c>
      <c r="AP45" s="222">
        <f>COUNTIF(D45:AG45,"res")</f>
        <v>0</v>
      </c>
      <c r="AQ45" s="223">
        <f>COUNTIF(D45:AG45,"mA")</f>
        <v>0</v>
      </c>
      <c r="AR45" s="224">
        <f>COUNTIF(D45:AG45,"at")</f>
        <v>0</v>
      </c>
      <c r="AS45" s="225">
        <f>COUNTIF(D45:AG45,"TAD")</f>
        <v>0</v>
      </c>
      <c r="AT45" s="226">
        <f>COUNTIF(D45:AG45,"TP")</f>
        <v>0</v>
      </c>
    </row>
    <row r="46" spans="1:46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201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2"/>
    </row>
    <row r="47" spans="1:46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203">
        <f>COUNTIF(D47:AG47,"p")</f>
        <v>0</v>
      </c>
      <c r="AI47" s="203">
        <f>COUNTIF(D47:AG47,"AH")</f>
        <v>0</v>
      </c>
      <c r="AJ47" s="204">
        <f>COUNTIF(D47:AG47,"PC")</f>
        <v>0</v>
      </c>
      <c r="AK47" s="205">
        <f>COUNTIF(D47:AG47,"f")</f>
        <v>0</v>
      </c>
      <c r="AL47" s="206">
        <f>COUNTIF(D47:AG47,"ast")</f>
        <v>0</v>
      </c>
      <c r="AM47" s="207">
        <f>COUNTIF(D47:AG47,"cA")</f>
        <v>0</v>
      </c>
      <c r="AN47" s="208">
        <f>COUNTIF(D47:AG47,"rtt")</f>
        <v>0</v>
      </c>
      <c r="AO47" s="209">
        <f>COUNTIF(D47:AG47,"cex")</f>
        <v>0</v>
      </c>
      <c r="AP47" s="210">
        <f>COUNTIF(D47:AG47,"res")</f>
        <v>0</v>
      </c>
      <c r="AQ47" s="211">
        <f>COUNTIF(D47:AG47,"mA")</f>
        <v>0</v>
      </c>
      <c r="AR47" s="212">
        <f>COUNTIF(D47:AG47,"at")</f>
        <v>0</v>
      </c>
      <c r="AS47" s="213">
        <f>COUNTIF(D47:AG47,"TAD")</f>
        <v>0</v>
      </c>
      <c r="AT47" s="214">
        <f>COUNTIF(D47:AG47,"TP")</f>
        <v>0</v>
      </c>
    </row>
    <row r="48" spans="1:46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215">
        <f>COUNTIF(D48:AG48,"p")</f>
        <v>0</v>
      </c>
      <c r="AI48" s="215">
        <f>COUNTIF(D48:AG48,"AH")</f>
        <v>0</v>
      </c>
      <c r="AJ48" s="216">
        <f>COUNTIF(D48:AG48,"PC")</f>
        <v>0</v>
      </c>
      <c r="AK48" s="217">
        <f>COUNTIF(D48:AG48,"f")</f>
        <v>0</v>
      </c>
      <c r="AL48" s="218">
        <f>COUNTIF(D48:AG48,"ast")</f>
        <v>0</v>
      </c>
      <c r="AM48" s="219">
        <f>COUNTIF(D48:AG48,"cA")</f>
        <v>0</v>
      </c>
      <c r="AN48" s="220">
        <f>COUNTIF(D48:AG48,"rtt")</f>
        <v>0</v>
      </c>
      <c r="AO48" s="221">
        <f>COUNTIF(D48:AG48,"cex")</f>
        <v>0</v>
      </c>
      <c r="AP48" s="222">
        <f>COUNTIF(D48:AG48,"res")</f>
        <v>0</v>
      </c>
      <c r="AQ48" s="223">
        <f>COUNTIF(D48:AG48,"mA")</f>
        <v>0</v>
      </c>
      <c r="AR48" s="224">
        <f>COUNTIF(D48:AG48,"at")</f>
        <v>0</v>
      </c>
      <c r="AS48" s="225">
        <f>COUNTIF(D48:AG48,"TAD")</f>
        <v>0</v>
      </c>
      <c r="AT48" s="226">
        <f>COUNTIF(D48:AG48,"TP")</f>
        <v>0</v>
      </c>
    </row>
    <row r="49" spans="1:46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232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</row>
    <row r="50" spans="1:46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107">
        <f t="shared" ref="AH50:AH59" si="4">COUNTIF(D50:AG50,"p")</f>
        <v>0</v>
      </c>
      <c r="AI50" s="107">
        <f t="shared" ref="AI50:AI59" si="5">COUNTIF(D50:AG50,"AH")</f>
        <v>0</v>
      </c>
      <c r="AJ50" s="108">
        <f t="shared" ref="AJ50:AJ59" si="6">COUNTIF(D50:AG50,"PC")</f>
        <v>0</v>
      </c>
      <c r="AK50" s="109">
        <f t="shared" ref="AK50:AK59" si="7">COUNTIF(D50:AG50,"f")</f>
        <v>0</v>
      </c>
      <c r="AL50" s="110">
        <f t="shared" ref="AL50:AL59" si="8">COUNTIF(D50:AG50,"ast")</f>
        <v>0</v>
      </c>
      <c r="AM50" s="111">
        <f t="shared" ref="AM50:AM59" si="9">COUNTIF(D50:AG50,"cA")</f>
        <v>0</v>
      </c>
      <c r="AN50" s="112">
        <f t="shared" ref="AN50:AN59" si="10">COUNTIF(D50:AG50,"rtt")</f>
        <v>0</v>
      </c>
      <c r="AO50" s="113">
        <f t="shared" ref="AO50:AO59" si="11">COUNTIF(D50:AG50,"cex")</f>
        <v>0</v>
      </c>
      <c r="AP50" s="114">
        <f t="shared" ref="AP50:AP59" si="12">COUNTIF(D50:AG50,"res")</f>
        <v>0</v>
      </c>
      <c r="AQ50" s="115">
        <f t="shared" ref="AQ50:AQ59" si="13">COUNTIF(D50:AG50,"mA")</f>
        <v>0</v>
      </c>
      <c r="AR50" s="116">
        <f t="shared" ref="AR50:AR59" si="14">COUNTIF(D50:AG50,"at")</f>
        <v>0</v>
      </c>
      <c r="AS50" s="117">
        <f t="shared" ref="AS50:AS59" si="15">COUNTIF(D50:AG50,"TAD")</f>
        <v>0</v>
      </c>
      <c r="AT50" s="118">
        <f t="shared" ref="AT50:AT59" si="16">COUNTIF(D50:AG50,"TP")</f>
        <v>0</v>
      </c>
    </row>
    <row r="51" spans="1:46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107">
        <f t="shared" si="4"/>
        <v>0</v>
      </c>
      <c r="AI51" s="107">
        <f t="shared" si="5"/>
        <v>0</v>
      </c>
      <c r="AJ51" s="108">
        <f t="shared" si="6"/>
        <v>0</v>
      </c>
      <c r="AK51" s="109">
        <f t="shared" si="7"/>
        <v>0</v>
      </c>
      <c r="AL51" s="110">
        <f t="shared" si="8"/>
        <v>0</v>
      </c>
      <c r="AM51" s="111">
        <f t="shared" si="9"/>
        <v>0</v>
      </c>
      <c r="AN51" s="112">
        <f t="shared" si="10"/>
        <v>0</v>
      </c>
      <c r="AO51" s="113">
        <f t="shared" si="11"/>
        <v>0</v>
      </c>
      <c r="AP51" s="114">
        <f t="shared" si="12"/>
        <v>0</v>
      </c>
      <c r="AQ51" s="115">
        <f t="shared" si="13"/>
        <v>0</v>
      </c>
      <c r="AR51" s="116">
        <f t="shared" si="14"/>
        <v>0</v>
      </c>
      <c r="AS51" s="117">
        <f t="shared" si="15"/>
        <v>0</v>
      </c>
      <c r="AT51" s="118">
        <f t="shared" si="16"/>
        <v>0</v>
      </c>
    </row>
    <row r="52" spans="1:46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107">
        <f t="shared" si="4"/>
        <v>0</v>
      </c>
      <c r="AI52" s="107">
        <f t="shared" si="5"/>
        <v>0</v>
      </c>
      <c r="AJ52" s="108">
        <f t="shared" si="6"/>
        <v>0</v>
      </c>
      <c r="AK52" s="109">
        <f t="shared" si="7"/>
        <v>0</v>
      </c>
      <c r="AL52" s="110">
        <f t="shared" si="8"/>
        <v>0</v>
      </c>
      <c r="AM52" s="111">
        <f t="shared" si="9"/>
        <v>0</v>
      </c>
      <c r="AN52" s="112">
        <f t="shared" si="10"/>
        <v>0</v>
      </c>
      <c r="AO52" s="113">
        <f t="shared" si="11"/>
        <v>0</v>
      </c>
      <c r="AP52" s="114">
        <f t="shared" si="12"/>
        <v>0</v>
      </c>
      <c r="AQ52" s="115">
        <f t="shared" si="13"/>
        <v>0</v>
      </c>
      <c r="AR52" s="116">
        <f t="shared" si="14"/>
        <v>0</v>
      </c>
      <c r="AS52" s="117">
        <f t="shared" si="15"/>
        <v>0</v>
      </c>
      <c r="AT52" s="118">
        <f t="shared" si="16"/>
        <v>0</v>
      </c>
    </row>
    <row r="53" spans="1:46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107">
        <f t="shared" si="4"/>
        <v>0</v>
      </c>
      <c r="AI53" s="107">
        <f t="shared" si="5"/>
        <v>0</v>
      </c>
      <c r="AJ53" s="108">
        <f t="shared" si="6"/>
        <v>0</v>
      </c>
      <c r="AK53" s="109">
        <f t="shared" si="7"/>
        <v>0</v>
      </c>
      <c r="AL53" s="110">
        <f t="shared" si="8"/>
        <v>0</v>
      </c>
      <c r="AM53" s="111">
        <f t="shared" si="9"/>
        <v>0</v>
      </c>
      <c r="AN53" s="112">
        <f t="shared" si="10"/>
        <v>0</v>
      </c>
      <c r="AO53" s="113">
        <f t="shared" si="11"/>
        <v>0</v>
      </c>
      <c r="AP53" s="114">
        <f t="shared" si="12"/>
        <v>0</v>
      </c>
      <c r="AQ53" s="115">
        <f t="shared" si="13"/>
        <v>0</v>
      </c>
      <c r="AR53" s="116">
        <f t="shared" si="14"/>
        <v>0</v>
      </c>
      <c r="AS53" s="117">
        <f t="shared" si="15"/>
        <v>0</v>
      </c>
      <c r="AT53" s="118">
        <f t="shared" si="16"/>
        <v>0</v>
      </c>
    </row>
    <row r="54" spans="1:46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107">
        <f t="shared" si="4"/>
        <v>0</v>
      </c>
      <c r="AI54" s="107">
        <f t="shared" si="5"/>
        <v>0</v>
      </c>
      <c r="AJ54" s="108">
        <f t="shared" si="6"/>
        <v>0</v>
      </c>
      <c r="AK54" s="109">
        <f t="shared" si="7"/>
        <v>0</v>
      </c>
      <c r="AL54" s="110">
        <f t="shared" si="8"/>
        <v>0</v>
      </c>
      <c r="AM54" s="111">
        <f t="shared" si="9"/>
        <v>0</v>
      </c>
      <c r="AN54" s="112">
        <f t="shared" si="10"/>
        <v>0</v>
      </c>
      <c r="AO54" s="113">
        <f t="shared" si="11"/>
        <v>0</v>
      </c>
      <c r="AP54" s="114">
        <f t="shared" si="12"/>
        <v>0</v>
      </c>
      <c r="AQ54" s="115">
        <f t="shared" si="13"/>
        <v>0</v>
      </c>
      <c r="AR54" s="116">
        <f t="shared" si="14"/>
        <v>0</v>
      </c>
      <c r="AS54" s="117">
        <f t="shared" si="15"/>
        <v>0</v>
      </c>
      <c r="AT54" s="118">
        <f t="shared" si="16"/>
        <v>0</v>
      </c>
    </row>
    <row r="55" spans="1:46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107">
        <f t="shared" si="4"/>
        <v>0</v>
      </c>
      <c r="AI55" s="107">
        <f t="shared" si="5"/>
        <v>0</v>
      </c>
      <c r="AJ55" s="108">
        <f t="shared" si="6"/>
        <v>0</v>
      </c>
      <c r="AK55" s="109">
        <f t="shared" si="7"/>
        <v>0</v>
      </c>
      <c r="AL55" s="110">
        <f t="shared" si="8"/>
        <v>0</v>
      </c>
      <c r="AM55" s="111">
        <f t="shared" si="9"/>
        <v>0</v>
      </c>
      <c r="AN55" s="112">
        <f t="shared" si="10"/>
        <v>0</v>
      </c>
      <c r="AO55" s="113">
        <f t="shared" si="11"/>
        <v>0</v>
      </c>
      <c r="AP55" s="114">
        <f t="shared" si="12"/>
        <v>0</v>
      </c>
      <c r="AQ55" s="115">
        <f t="shared" si="13"/>
        <v>0</v>
      </c>
      <c r="AR55" s="116">
        <f t="shared" si="14"/>
        <v>0</v>
      </c>
      <c r="AS55" s="117">
        <f t="shared" si="15"/>
        <v>0</v>
      </c>
      <c r="AT55" s="118">
        <f t="shared" si="16"/>
        <v>0</v>
      </c>
    </row>
    <row r="56" spans="1:46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107">
        <f t="shared" si="4"/>
        <v>0</v>
      </c>
      <c r="AI56" s="107">
        <f t="shared" si="5"/>
        <v>0</v>
      </c>
      <c r="AJ56" s="108">
        <f t="shared" si="6"/>
        <v>0</v>
      </c>
      <c r="AK56" s="109">
        <f t="shared" si="7"/>
        <v>0</v>
      </c>
      <c r="AL56" s="110">
        <f t="shared" si="8"/>
        <v>0</v>
      </c>
      <c r="AM56" s="111">
        <f t="shared" si="9"/>
        <v>0</v>
      </c>
      <c r="AN56" s="112">
        <f t="shared" si="10"/>
        <v>0</v>
      </c>
      <c r="AO56" s="113">
        <f t="shared" si="11"/>
        <v>0</v>
      </c>
      <c r="AP56" s="114">
        <f t="shared" si="12"/>
        <v>0</v>
      </c>
      <c r="AQ56" s="115">
        <f t="shared" si="13"/>
        <v>0</v>
      </c>
      <c r="AR56" s="116">
        <f t="shared" si="14"/>
        <v>0</v>
      </c>
      <c r="AS56" s="117">
        <f t="shared" si="15"/>
        <v>0</v>
      </c>
      <c r="AT56" s="118">
        <f t="shared" si="16"/>
        <v>0</v>
      </c>
    </row>
    <row r="57" spans="1:46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107">
        <f t="shared" si="4"/>
        <v>0</v>
      </c>
      <c r="AI57" s="107">
        <f t="shared" si="5"/>
        <v>0</v>
      </c>
      <c r="AJ57" s="108">
        <f t="shared" si="6"/>
        <v>0</v>
      </c>
      <c r="AK57" s="109">
        <f t="shared" si="7"/>
        <v>0</v>
      </c>
      <c r="AL57" s="110">
        <f t="shared" si="8"/>
        <v>0</v>
      </c>
      <c r="AM57" s="111">
        <f t="shared" si="9"/>
        <v>0</v>
      </c>
      <c r="AN57" s="112">
        <f t="shared" si="10"/>
        <v>0</v>
      </c>
      <c r="AO57" s="113">
        <f t="shared" si="11"/>
        <v>0</v>
      </c>
      <c r="AP57" s="114">
        <f t="shared" si="12"/>
        <v>0</v>
      </c>
      <c r="AQ57" s="115">
        <f t="shared" si="13"/>
        <v>0</v>
      </c>
      <c r="AR57" s="116">
        <f t="shared" si="14"/>
        <v>0</v>
      </c>
      <c r="AS57" s="117">
        <f t="shared" si="15"/>
        <v>0</v>
      </c>
      <c r="AT57" s="118">
        <f t="shared" si="16"/>
        <v>0</v>
      </c>
    </row>
    <row r="58" spans="1:46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107">
        <f t="shared" si="4"/>
        <v>0</v>
      </c>
      <c r="AI58" s="107">
        <f t="shared" si="5"/>
        <v>0</v>
      </c>
      <c r="AJ58" s="108">
        <f t="shared" si="6"/>
        <v>0</v>
      </c>
      <c r="AK58" s="109">
        <f t="shared" si="7"/>
        <v>0</v>
      </c>
      <c r="AL58" s="110">
        <f t="shared" si="8"/>
        <v>0</v>
      </c>
      <c r="AM58" s="111">
        <f t="shared" si="9"/>
        <v>0</v>
      </c>
      <c r="AN58" s="112">
        <f t="shared" si="10"/>
        <v>0</v>
      </c>
      <c r="AO58" s="113">
        <f t="shared" si="11"/>
        <v>0</v>
      </c>
      <c r="AP58" s="114">
        <f t="shared" si="12"/>
        <v>0</v>
      </c>
      <c r="AQ58" s="115">
        <f t="shared" si="13"/>
        <v>0</v>
      </c>
      <c r="AR58" s="116">
        <f t="shared" si="14"/>
        <v>0</v>
      </c>
      <c r="AS58" s="117">
        <f t="shared" si="15"/>
        <v>0</v>
      </c>
      <c r="AT58" s="118">
        <f t="shared" si="16"/>
        <v>0</v>
      </c>
    </row>
    <row r="59" spans="1:46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107">
        <f t="shared" si="4"/>
        <v>0</v>
      </c>
      <c r="AI59" s="107">
        <f t="shared" si="5"/>
        <v>0</v>
      </c>
      <c r="AJ59" s="108">
        <f t="shared" si="6"/>
        <v>0</v>
      </c>
      <c r="AK59" s="109">
        <f t="shared" si="7"/>
        <v>0</v>
      </c>
      <c r="AL59" s="110">
        <f t="shared" si="8"/>
        <v>0</v>
      </c>
      <c r="AM59" s="111">
        <f t="shared" si="9"/>
        <v>0</v>
      </c>
      <c r="AN59" s="112">
        <f t="shared" si="10"/>
        <v>0</v>
      </c>
      <c r="AO59" s="113">
        <f t="shared" si="11"/>
        <v>0</v>
      </c>
      <c r="AP59" s="114">
        <f t="shared" si="12"/>
        <v>0</v>
      </c>
      <c r="AQ59" s="115">
        <f t="shared" si="13"/>
        <v>0</v>
      </c>
      <c r="AR59" s="116">
        <f t="shared" si="14"/>
        <v>0</v>
      </c>
      <c r="AS59" s="117">
        <f t="shared" si="15"/>
        <v>0</v>
      </c>
      <c r="AT59" s="118">
        <f t="shared" si="16"/>
        <v>0</v>
      </c>
    </row>
    <row r="60" spans="1:46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G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3"/>
    </row>
    <row r="61" spans="1:46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</row>
    <row r="62" spans="1:46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107">
        <f t="shared" ref="AH62:AH72" si="18">COUNTIF(D62:AG62,"p")</f>
        <v>0</v>
      </c>
      <c r="AI62" s="107">
        <f t="shared" ref="AI62:AI72" si="19">COUNTIF(D62:AG62,"AH")</f>
        <v>0</v>
      </c>
      <c r="AJ62" s="108">
        <f t="shared" ref="AJ62:AJ72" si="20">COUNTIF(D62:AG62,"PC")</f>
        <v>0</v>
      </c>
      <c r="AK62" s="109">
        <f t="shared" ref="AK62:AK72" si="21">COUNTIF(D62:AG62,"f")</f>
        <v>0</v>
      </c>
      <c r="AL62" s="110">
        <f t="shared" ref="AL62:AL72" si="22">COUNTIF(D62:AG62,"ast")</f>
        <v>0</v>
      </c>
      <c r="AM62" s="111">
        <f t="shared" ref="AM62:AM72" si="23">COUNTIF(D62:AG62,"cA")</f>
        <v>0</v>
      </c>
      <c r="AN62" s="112">
        <f t="shared" ref="AN62:AN72" si="24">COUNTIF(D62:AG62,"rtt")</f>
        <v>0</v>
      </c>
      <c r="AO62" s="113">
        <f t="shared" ref="AO62:AO72" si="25">COUNTIF(D62:AG62,"cex")</f>
        <v>0</v>
      </c>
      <c r="AP62" s="114">
        <f t="shared" ref="AP62:AP72" si="26">COUNTIF(D62:AG62,"res")</f>
        <v>0</v>
      </c>
      <c r="AQ62" s="115">
        <f t="shared" ref="AQ62:AQ72" si="27">COUNTIF(D62:AG62,"mA")</f>
        <v>0</v>
      </c>
      <c r="AR62" s="116">
        <f t="shared" ref="AR62:AR72" si="28">COUNTIF(D62:AG62,"at")</f>
        <v>0</v>
      </c>
      <c r="AS62" s="117">
        <f t="shared" ref="AS62:AS72" si="29">COUNTIF(D62:AG62,"TAD")</f>
        <v>0</v>
      </c>
      <c r="AT62" s="118">
        <f t="shared" ref="AT62:AT72" si="30">COUNTIF(D62:AG62,"TP")</f>
        <v>0</v>
      </c>
    </row>
    <row r="63" spans="1:46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107">
        <f t="shared" si="18"/>
        <v>0</v>
      </c>
      <c r="AI63" s="107">
        <f t="shared" si="19"/>
        <v>0</v>
      </c>
      <c r="AJ63" s="108">
        <f t="shared" si="20"/>
        <v>0</v>
      </c>
      <c r="AK63" s="109">
        <f t="shared" si="21"/>
        <v>0</v>
      </c>
      <c r="AL63" s="110">
        <f t="shared" si="22"/>
        <v>0</v>
      </c>
      <c r="AM63" s="111">
        <f t="shared" si="23"/>
        <v>0</v>
      </c>
      <c r="AN63" s="112">
        <f t="shared" si="24"/>
        <v>0</v>
      </c>
      <c r="AO63" s="113">
        <f t="shared" si="25"/>
        <v>0</v>
      </c>
      <c r="AP63" s="114">
        <f t="shared" si="26"/>
        <v>0</v>
      </c>
      <c r="AQ63" s="115">
        <f t="shared" si="27"/>
        <v>0</v>
      </c>
      <c r="AR63" s="116">
        <f t="shared" si="28"/>
        <v>0</v>
      </c>
      <c r="AS63" s="117">
        <f t="shared" si="29"/>
        <v>0</v>
      </c>
      <c r="AT63" s="118">
        <f t="shared" si="30"/>
        <v>0</v>
      </c>
    </row>
    <row r="64" spans="1:46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107">
        <f t="shared" si="18"/>
        <v>0</v>
      </c>
      <c r="AI64" s="107">
        <f t="shared" si="19"/>
        <v>0</v>
      </c>
      <c r="AJ64" s="108">
        <f t="shared" si="20"/>
        <v>0</v>
      </c>
      <c r="AK64" s="109">
        <f t="shared" si="21"/>
        <v>0</v>
      </c>
      <c r="AL64" s="110">
        <f t="shared" si="22"/>
        <v>0</v>
      </c>
      <c r="AM64" s="111">
        <f t="shared" si="23"/>
        <v>0</v>
      </c>
      <c r="AN64" s="112">
        <f t="shared" si="24"/>
        <v>0</v>
      </c>
      <c r="AO64" s="113">
        <f t="shared" si="25"/>
        <v>0</v>
      </c>
      <c r="AP64" s="114">
        <f t="shared" si="26"/>
        <v>0</v>
      </c>
      <c r="AQ64" s="115">
        <f t="shared" si="27"/>
        <v>0</v>
      </c>
      <c r="AR64" s="116">
        <f t="shared" si="28"/>
        <v>0</v>
      </c>
      <c r="AS64" s="117">
        <f t="shared" si="29"/>
        <v>0</v>
      </c>
      <c r="AT64" s="118">
        <f t="shared" si="30"/>
        <v>0</v>
      </c>
    </row>
    <row r="65" spans="1:46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107">
        <f t="shared" si="18"/>
        <v>0</v>
      </c>
      <c r="AI65" s="107">
        <f t="shared" si="19"/>
        <v>0</v>
      </c>
      <c r="AJ65" s="108">
        <f t="shared" si="20"/>
        <v>0</v>
      </c>
      <c r="AK65" s="109">
        <f t="shared" si="21"/>
        <v>0</v>
      </c>
      <c r="AL65" s="110">
        <f t="shared" si="22"/>
        <v>0</v>
      </c>
      <c r="AM65" s="111">
        <f t="shared" si="23"/>
        <v>0</v>
      </c>
      <c r="AN65" s="112">
        <f t="shared" si="24"/>
        <v>0</v>
      </c>
      <c r="AO65" s="113">
        <f t="shared" si="25"/>
        <v>0</v>
      </c>
      <c r="AP65" s="114">
        <f t="shared" si="26"/>
        <v>0</v>
      </c>
      <c r="AQ65" s="115">
        <f t="shared" si="27"/>
        <v>0</v>
      </c>
      <c r="AR65" s="116">
        <f t="shared" si="28"/>
        <v>0</v>
      </c>
      <c r="AS65" s="117">
        <f t="shared" si="29"/>
        <v>0</v>
      </c>
      <c r="AT65" s="118">
        <f t="shared" si="30"/>
        <v>0</v>
      </c>
    </row>
    <row r="66" spans="1:46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107">
        <f t="shared" si="18"/>
        <v>0</v>
      </c>
      <c r="AI66" s="107">
        <f t="shared" si="19"/>
        <v>0</v>
      </c>
      <c r="AJ66" s="108">
        <f t="shared" si="20"/>
        <v>0</v>
      </c>
      <c r="AK66" s="109">
        <f t="shared" si="21"/>
        <v>0</v>
      </c>
      <c r="AL66" s="110">
        <f t="shared" si="22"/>
        <v>0</v>
      </c>
      <c r="AM66" s="111">
        <f t="shared" si="23"/>
        <v>0</v>
      </c>
      <c r="AN66" s="112">
        <f t="shared" si="24"/>
        <v>0</v>
      </c>
      <c r="AO66" s="113">
        <f t="shared" si="25"/>
        <v>0</v>
      </c>
      <c r="AP66" s="114">
        <f t="shared" si="26"/>
        <v>0</v>
      </c>
      <c r="AQ66" s="115">
        <f t="shared" si="27"/>
        <v>0</v>
      </c>
      <c r="AR66" s="116">
        <f t="shared" si="28"/>
        <v>0</v>
      </c>
      <c r="AS66" s="117">
        <f t="shared" si="29"/>
        <v>0</v>
      </c>
      <c r="AT66" s="118">
        <f t="shared" si="30"/>
        <v>0</v>
      </c>
    </row>
    <row r="67" spans="1:46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107">
        <f t="shared" si="18"/>
        <v>0</v>
      </c>
      <c r="AI67" s="107">
        <f t="shared" si="19"/>
        <v>0</v>
      </c>
      <c r="AJ67" s="108">
        <f t="shared" si="20"/>
        <v>0</v>
      </c>
      <c r="AK67" s="109">
        <f t="shared" si="21"/>
        <v>0</v>
      </c>
      <c r="AL67" s="110">
        <f t="shared" si="22"/>
        <v>0</v>
      </c>
      <c r="AM67" s="111">
        <f t="shared" si="23"/>
        <v>0</v>
      </c>
      <c r="AN67" s="112">
        <f t="shared" si="24"/>
        <v>0</v>
      </c>
      <c r="AO67" s="113">
        <f t="shared" si="25"/>
        <v>0</v>
      </c>
      <c r="AP67" s="114">
        <f t="shared" si="26"/>
        <v>0</v>
      </c>
      <c r="AQ67" s="115">
        <f t="shared" si="27"/>
        <v>0</v>
      </c>
      <c r="AR67" s="116">
        <f t="shared" si="28"/>
        <v>0</v>
      </c>
      <c r="AS67" s="117">
        <f t="shared" si="29"/>
        <v>0</v>
      </c>
      <c r="AT67" s="118">
        <f t="shared" si="30"/>
        <v>0</v>
      </c>
    </row>
    <row r="68" spans="1:46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107">
        <f t="shared" si="18"/>
        <v>0</v>
      </c>
      <c r="AI68" s="107">
        <f t="shared" si="19"/>
        <v>0</v>
      </c>
      <c r="AJ68" s="108">
        <f t="shared" si="20"/>
        <v>0</v>
      </c>
      <c r="AK68" s="109">
        <f t="shared" si="21"/>
        <v>0</v>
      </c>
      <c r="AL68" s="110">
        <f t="shared" si="22"/>
        <v>0</v>
      </c>
      <c r="AM68" s="111">
        <f t="shared" si="23"/>
        <v>0</v>
      </c>
      <c r="AN68" s="112">
        <f t="shared" si="24"/>
        <v>0</v>
      </c>
      <c r="AO68" s="113">
        <f t="shared" si="25"/>
        <v>0</v>
      </c>
      <c r="AP68" s="114">
        <f t="shared" si="26"/>
        <v>0</v>
      </c>
      <c r="AQ68" s="115">
        <f t="shared" si="27"/>
        <v>0</v>
      </c>
      <c r="AR68" s="116">
        <f t="shared" si="28"/>
        <v>0</v>
      </c>
      <c r="AS68" s="117">
        <f t="shared" si="29"/>
        <v>0</v>
      </c>
      <c r="AT68" s="118">
        <f t="shared" si="30"/>
        <v>0</v>
      </c>
    </row>
    <row r="69" spans="1:46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107">
        <f t="shared" si="18"/>
        <v>0</v>
      </c>
      <c r="AI69" s="107">
        <f t="shared" si="19"/>
        <v>0</v>
      </c>
      <c r="AJ69" s="108">
        <f t="shared" si="20"/>
        <v>0</v>
      </c>
      <c r="AK69" s="109">
        <f t="shared" si="21"/>
        <v>0</v>
      </c>
      <c r="AL69" s="110">
        <f t="shared" si="22"/>
        <v>0</v>
      </c>
      <c r="AM69" s="111">
        <f t="shared" si="23"/>
        <v>0</v>
      </c>
      <c r="AN69" s="112">
        <f t="shared" si="24"/>
        <v>0</v>
      </c>
      <c r="AO69" s="113">
        <f t="shared" si="25"/>
        <v>0</v>
      </c>
      <c r="AP69" s="114">
        <f t="shared" si="26"/>
        <v>0</v>
      </c>
      <c r="AQ69" s="115">
        <f t="shared" si="27"/>
        <v>0</v>
      </c>
      <c r="AR69" s="116">
        <f t="shared" si="28"/>
        <v>0</v>
      </c>
      <c r="AS69" s="117">
        <f t="shared" si="29"/>
        <v>0</v>
      </c>
      <c r="AT69" s="118">
        <f t="shared" si="30"/>
        <v>0</v>
      </c>
    </row>
    <row r="70" spans="1:46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107">
        <f t="shared" si="18"/>
        <v>0</v>
      </c>
      <c r="AI70" s="107">
        <f t="shared" si="19"/>
        <v>0</v>
      </c>
      <c r="AJ70" s="108">
        <f t="shared" si="20"/>
        <v>0</v>
      </c>
      <c r="AK70" s="109">
        <f t="shared" si="21"/>
        <v>0</v>
      </c>
      <c r="AL70" s="110">
        <f t="shared" si="22"/>
        <v>0</v>
      </c>
      <c r="AM70" s="111">
        <f t="shared" si="23"/>
        <v>0</v>
      </c>
      <c r="AN70" s="112">
        <f t="shared" si="24"/>
        <v>0</v>
      </c>
      <c r="AO70" s="113">
        <f t="shared" si="25"/>
        <v>0</v>
      </c>
      <c r="AP70" s="114">
        <f t="shared" si="26"/>
        <v>0</v>
      </c>
      <c r="AQ70" s="115">
        <f t="shared" si="27"/>
        <v>0</v>
      </c>
      <c r="AR70" s="116">
        <f t="shared" si="28"/>
        <v>0</v>
      </c>
      <c r="AS70" s="117">
        <f t="shared" si="29"/>
        <v>0</v>
      </c>
      <c r="AT70" s="118">
        <f t="shared" si="30"/>
        <v>0</v>
      </c>
    </row>
    <row r="71" spans="1:46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107">
        <f t="shared" si="18"/>
        <v>0</v>
      </c>
      <c r="AI71" s="107">
        <f t="shared" si="19"/>
        <v>0</v>
      </c>
      <c r="AJ71" s="108">
        <f t="shared" si="20"/>
        <v>0</v>
      </c>
      <c r="AK71" s="109">
        <f t="shared" si="21"/>
        <v>0</v>
      </c>
      <c r="AL71" s="110">
        <f t="shared" si="22"/>
        <v>0</v>
      </c>
      <c r="AM71" s="111">
        <f t="shared" si="23"/>
        <v>0</v>
      </c>
      <c r="AN71" s="112">
        <f t="shared" si="24"/>
        <v>0</v>
      </c>
      <c r="AO71" s="113">
        <f t="shared" si="25"/>
        <v>0</v>
      </c>
      <c r="AP71" s="114">
        <f t="shared" si="26"/>
        <v>0</v>
      </c>
      <c r="AQ71" s="115">
        <f t="shared" si="27"/>
        <v>0</v>
      </c>
      <c r="AR71" s="116">
        <f t="shared" si="28"/>
        <v>0</v>
      </c>
      <c r="AS71" s="117">
        <f t="shared" si="29"/>
        <v>0</v>
      </c>
      <c r="AT71" s="118">
        <f t="shared" si="30"/>
        <v>0</v>
      </c>
    </row>
    <row r="72" spans="1:46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107">
        <f t="shared" si="18"/>
        <v>0</v>
      </c>
      <c r="AI72" s="107">
        <f t="shared" si="19"/>
        <v>0</v>
      </c>
      <c r="AJ72" s="108">
        <f t="shared" si="20"/>
        <v>0</v>
      </c>
      <c r="AK72" s="109">
        <f t="shared" si="21"/>
        <v>0</v>
      </c>
      <c r="AL72" s="110">
        <f t="shared" si="22"/>
        <v>0</v>
      </c>
      <c r="AM72" s="111">
        <f t="shared" si="23"/>
        <v>0</v>
      </c>
      <c r="AN72" s="112">
        <f t="shared" si="24"/>
        <v>0</v>
      </c>
      <c r="AO72" s="113">
        <f t="shared" si="25"/>
        <v>0</v>
      </c>
      <c r="AP72" s="114">
        <f t="shared" si="26"/>
        <v>0</v>
      </c>
      <c r="AQ72" s="115">
        <f t="shared" si="27"/>
        <v>0</v>
      </c>
      <c r="AR72" s="116">
        <f t="shared" si="28"/>
        <v>0</v>
      </c>
      <c r="AS72" s="117">
        <f t="shared" si="29"/>
        <v>0</v>
      </c>
      <c r="AT72" s="118">
        <f t="shared" si="30"/>
        <v>0</v>
      </c>
    </row>
    <row r="73" spans="1:46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G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235"/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</row>
    <row r="74" spans="1:46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G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3"/>
    </row>
    <row r="75" spans="1:46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</row>
    <row r="76" spans="1:46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107">
        <f>COUNTIF(D76:AG76,"p")</f>
        <v>0</v>
      </c>
      <c r="AI76" s="107">
        <f>COUNTIF(D76:AG76,"AH")</f>
        <v>0</v>
      </c>
      <c r="AJ76" s="108">
        <f>COUNTIF(D76:AG76,"PC")</f>
        <v>0</v>
      </c>
      <c r="AK76" s="109">
        <f>COUNTIF(D76:AG76,"f")</f>
        <v>0</v>
      </c>
      <c r="AL76" s="110">
        <f>COUNTIF(D76:AG76,"ast")</f>
        <v>0</v>
      </c>
      <c r="AM76" s="111">
        <f>COUNTIF(D76:AG76,"cA")</f>
        <v>0</v>
      </c>
      <c r="AN76" s="112">
        <f>COUNTIF(D76:AG76,"rtt")</f>
        <v>0</v>
      </c>
      <c r="AO76" s="113">
        <f>COUNTIF(D76:AG76,"cex")</f>
        <v>0</v>
      </c>
      <c r="AP76" s="114">
        <f>COUNTIF(D76:AG76,"res")</f>
        <v>0</v>
      </c>
      <c r="AQ76" s="115">
        <f>COUNTIF(D76:AG76,"mA")</f>
        <v>0</v>
      </c>
      <c r="AR76" s="116">
        <f>COUNTIF(D76:AG76,"at")</f>
        <v>0</v>
      </c>
      <c r="AS76" s="117">
        <f>COUNTIF(D76:AG76,"TAD")</f>
        <v>0</v>
      </c>
      <c r="AT76" s="118">
        <f>COUNTIF(D76:AG76,"TP")</f>
        <v>0</v>
      </c>
    </row>
    <row r="77" spans="1:46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107">
        <f>COUNTIF(D77:AG77,"p")</f>
        <v>0</v>
      </c>
      <c r="AI77" s="107">
        <f>COUNTIF(D77:AG77,"AH")</f>
        <v>0</v>
      </c>
      <c r="AJ77" s="108">
        <f>COUNTIF(D77:AG77,"PC")</f>
        <v>0</v>
      </c>
      <c r="AK77" s="109">
        <f>COUNTIF(D77:AG77,"f")</f>
        <v>0</v>
      </c>
      <c r="AL77" s="110">
        <f>COUNTIF(D77:AG77,"ast")</f>
        <v>0</v>
      </c>
      <c r="AM77" s="111">
        <f>COUNTIF(D77:AG77,"cA")</f>
        <v>0</v>
      </c>
      <c r="AN77" s="112">
        <f>COUNTIF(D77:AG77,"rtt")</f>
        <v>0</v>
      </c>
      <c r="AO77" s="113">
        <f>COUNTIF(D77:AG77,"cex")</f>
        <v>0</v>
      </c>
      <c r="AP77" s="114">
        <f>COUNTIF(D77:AG77,"res")</f>
        <v>0</v>
      </c>
      <c r="AQ77" s="115">
        <f>COUNTIF(D77:AG77,"mA")</f>
        <v>0</v>
      </c>
      <c r="AR77" s="116">
        <f>COUNTIF(D77:AG77,"at")</f>
        <v>0</v>
      </c>
      <c r="AS77" s="117">
        <f>COUNTIF(D77:AG77,"TAD")</f>
        <v>0</v>
      </c>
      <c r="AT77" s="118">
        <f>COUNTIF(D77:AG77,"TP")</f>
        <v>0</v>
      </c>
    </row>
    <row r="78" spans="1:46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</row>
    <row r="79" spans="1:46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107">
        <f>COUNTIF(D79:AG79,"p")</f>
        <v>0</v>
      </c>
      <c r="AI79" s="107">
        <f>COUNTIF(D79:AG79,"AH")</f>
        <v>0</v>
      </c>
      <c r="AJ79" s="108">
        <f>COUNTIF(D79:AG79,"PC")</f>
        <v>0</v>
      </c>
      <c r="AK79" s="109">
        <f>COUNTIF(D79:AG79,"f")</f>
        <v>0</v>
      </c>
      <c r="AL79" s="110">
        <f>COUNTIF(D79:AG79,"ast")</f>
        <v>0</v>
      </c>
      <c r="AM79" s="111">
        <f>COUNTIF(D79:AG79,"cA")</f>
        <v>0</v>
      </c>
      <c r="AN79" s="112">
        <f>COUNTIF(D79:AG79,"rtt")</f>
        <v>0</v>
      </c>
      <c r="AO79" s="113">
        <f>COUNTIF(D79:AG79,"cex")</f>
        <v>0</v>
      </c>
      <c r="AP79" s="114">
        <f>COUNTIF(D79:AG79,"res")</f>
        <v>0</v>
      </c>
      <c r="AQ79" s="115">
        <f>COUNTIF(D79:AG79,"mA")</f>
        <v>0</v>
      </c>
      <c r="AR79" s="116">
        <f>COUNTIF(D79:AG79,"at")</f>
        <v>0</v>
      </c>
      <c r="AS79" s="117">
        <f>COUNTIF(D79:AG79,"TAD")</f>
        <v>0</v>
      </c>
      <c r="AT79" s="118">
        <f>COUNTIF(D79:AG79,"TP")</f>
        <v>0</v>
      </c>
    </row>
    <row r="80" spans="1:46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107">
        <f>COUNTIF(D80:AG80,"p")</f>
        <v>0</v>
      </c>
      <c r="AI80" s="107">
        <f>COUNTIF(D80:AG80,"AH")</f>
        <v>0</v>
      </c>
      <c r="AJ80" s="108">
        <f>COUNTIF(D80:AG80,"PC")</f>
        <v>0</v>
      </c>
      <c r="AK80" s="109">
        <f>COUNTIF(D80:AG80,"f")</f>
        <v>0</v>
      </c>
      <c r="AL80" s="110">
        <f>COUNTIF(D80:AG80,"ast")</f>
        <v>0</v>
      </c>
      <c r="AM80" s="111">
        <f>COUNTIF(D80:AG80,"cA")</f>
        <v>0</v>
      </c>
      <c r="AN80" s="112">
        <f>COUNTIF(D80:AG80,"rtt")</f>
        <v>0</v>
      </c>
      <c r="AO80" s="113">
        <f>COUNTIF(D80:AG80,"cex")</f>
        <v>0</v>
      </c>
      <c r="AP80" s="114">
        <f>COUNTIF(D80:AG80,"res")</f>
        <v>0</v>
      </c>
      <c r="AQ80" s="115">
        <f>COUNTIF(D80:AG80,"mA")</f>
        <v>0</v>
      </c>
      <c r="AR80" s="116">
        <f>COUNTIF(D80:AG80,"at")</f>
        <v>0</v>
      </c>
      <c r="AS80" s="117">
        <f>COUNTIF(D80:AG80,"TAD")</f>
        <v>0</v>
      </c>
      <c r="AT80" s="118">
        <f>COUNTIF(D80:AG80,"TP")</f>
        <v>0</v>
      </c>
    </row>
    <row r="82" spans="4:33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</row>
    <row r="83" spans="4:33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</row>
    <row r="84" spans="4:33" ht="15" customHeight="1" thickBot="1" x14ac:dyDescent="0.25">
      <c r="D84" s="101">
        <f>COUNTIF(D11:AG36,"p")</f>
        <v>0</v>
      </c>
      <c r="E84" s="102">
        <f>COUNTIF(D11:AG36,"AH")</f>
        <v>0</v>
      </c>
      <c r="F84" s="102">
        <f>COUNTIF(D11:AG36,"PC")</f>
        <v>1</v>
      </c>
      <c r="G84" s="102">
        <f>COUNTIF(D11:AG36,"f")</f>
        <v>0</v>
      </c>
      <c r="H84" s="102">
        <f>COUNTIF(D11:AG36,"ast")</f>
        <v>4</v>
      </c>
      <c r="I84" s="102">
        <f>COUNTIF(D11:AG36,"ca")</f>
        <v>0</v>
      </c>
      <c r="J84" s="102">
        <f>COUNTIF(D11:AG36,"rtt")</f>
        <v>0</v>
      </c>
      <c r="K84" s="102">
        <f>COUNTIF(D11:AG36,"CEX")</f>
        <v>0</v>
      </c>
      <c r="L84" s="102">
        <f>COUNTIF(D11:AG36,"RES")</f>
        <v>0</v>
      </c>
      <c r="M84" s="102">
        <f>COUNTIF(D11:AG36,"MA")</f>
        <v>0</v>
      </c>
      <c r="N84" s="102">
        <f>COUNTIF(D11:AG36,"AT")</f>
        <v>0</v>
      </c>
      <c r="O84" s="102">
        <f>COUNTIF(D11:AG36,"TAD")</f>
        <v>0</v>
      </c>
      <c r="P84" s="103">
        <f>COUNTIF(D11:AG36,"TP")</f>
        <v>0</v>
      </c>
      <c r="W84" s="104">
        <f>COUNTIF(D50:AG59,"p")</f>
        <v>0</v>
      </c>
      <c r="X84" s="105">
        <f>COUNTIF(D50:AG59,"AH")</f>
        <v>0</v>
      </c>
      <c r="Y84" s="105">
        <f>COUNTIF(D50:AG59,"PC")</f>
        <v>0</v>
      </c>
      <c r="Z84" s="105">
        <f>COUNTIF(D50:AG59,"f")</f>
        <v>0</v>
      </c>
      <c r="AA84" s="105">
        <f>COUNTIF(D50:AG59,"ast")</f>
        <v>0</v>
      </c>
      <c r="AB84" s="105">
        <f>COUNTIF(D50:AG59,"ca")</f>
        <v>0</v>
      </c>
      <c r="AC84" s="105">
        <f>COUNTIF(D50:AG59,"rtt")</f>
        <v>0</v>
      </c>
      <c r="AD84" s="105">
        <f>COUNTIF(D50:AG59,"CEX")</f>
        <v>0</v>
      </c>
      <c r="AE84" s="105">
        <f>COUNTIF(D50:AG59,"RES")</f>
        <v>0</v>
      </c>
      <c r="AF84" s="105">
        <f>COUNTIF(D50:AG59,"MA")</f>
        <v>0</v>
      </c>
      <c r="AG84" s="105">
        <f>COUNTIF(D50:AG59,"AT")</f>
        <v>0</v>
      </c>
    </row>
    <row r="104" spans="4:33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</row>
    <row r="105" spans="4:33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</row>
    <row r="106" spans="4:33" ht="15" customHeight="1" thickBot="1" x14ac:dyDescent="0.25">
      <c r="D106" s="104">
        <f>COUNTIF(D62:AG72,"p")</f>
        <v>0</v>
      </c>
      <c r="E106" s="105">
        <f>COUNTIF(D62:AG72,"AH")</f>
        <v>0</v>
      </c>
      <c r="F106" s="105">
        <f>COUNTIF(D62:AG72,"PC")</f>
        <v>0</v>
      </c>
      <c r="G106" s="105">
        <f>COUNTIF(D62:AG72,"f")</f>
        <v>0</v>
      </c>
      <c r="H106" s="105">
        <f>COUNTIF(D62:AG72,"ast")</f>
        <v>0</v>
      </c>
      <c r="I106" s="105">
        <f>COUNTIF(D62:AG72,"ca")</f>
        <v>0</v>
      </c>
      <c r="J106" s="105">
        <f>COUNTIF(D62:AG72,"rtt")</f>
        <v>0</v>
      </c>
      <c r="K106" s="105">
        <f>COUNTIF(D62:AG72,"CEX")</f>
        <v>0</v>
      </c>
      <c r="L106" s="105">
        <f>COUNTIF(D62:AG72,"RES")</f>
        <v>0</v>
      </c>
      <c r="M106" s="105">
        <f>COUNTIF(D62:AG72,"MA")</f>
        <v>0</v>
      </c>
      <c r="N106" s="105">
        <f>COUNTIF(D62:AG72,"AT")</f>
        <v>0</v>
      </c>
      <c r="O106" s="106">
        <f>COUNTIF(D62:AG72,"TP")</f>
        <v>0</v>
      </c>
      <c r="W106" s="104">
        <f>COUNTIF(D76:AG80,"p")</f>
        <v>0</v>
      </c>
      <c r="X106" s="105">
        <f>COUNTIF(D76:AG80,"AH")</f>
        <v>0</v>
      </c>
      <c r="Y106" s="105">
        <f>COUNTIF(D76:AG80,"PC")</f>
        <v>0</v>
      </c>
      <c r="Z106" s="105">
        <f>COUNTIF(D76:AG80,"f")</f>
        <v>0</v>
      </c>
      <c r="AA106" s="105">
        <f>COUNTIF(D76:AG80,"ast")</f>
        <v>0</v>
      </c>
      <c r="AB106" s="105">
        <f>COUNTIF(D76:AG80,"ca")</f>
        <v>0</v>
      </c>
      <c r="AC106" s="105">
        <f>COUNTIF(D76:AG80,"rtt")</f>
        <v>0</v>
      </c>
      <c r="AD106" s="105">
        <f>COUNTIF(D76:AG80,"CEX")</f>
        <v>0</v>
      </c>
      <c r="AE106" s="105">
        <f>COUNTIF(D76:AG80,"RES")</f>
        <v>0</v>
      </c>
      <c r="AF106" s="105">
        <f>COUNTIF(D76:AG80,"MA")</f>
        <v>0</v>
      </c>
      <c r="AG106" s="105">
        <f>COUNTIF(D76:AG80,"AT")</f>
        <v>0</v>
      </c>
    </row>
  </sheetData>
  <mergeCells count="14">
    <mergeCell ref="AL5:AL9"/>
    <mergeCell ref="D5:AG7"/>
    <mergeCell ref="AH5:AH9"/>
    <mergeCell ref="AI5:AI9"/>
    <mergeCell ref="AJ5:AJ9"/>
    <mergeCell ref="AK5:AK9"/>
    <mergeCell ref="AS5:AS9"/>
    <mergeCell ref="AT5:AT9"/>
    <mergeCell ref="AM5:AM9"/>
    <mergeCell ref="AN5:AN9"/>
    <mergeCell ref="AO5:AO9"/>
    <mergeCell ref="AP5:AP9"/>
    <mergeCell ref="AQ5:AQ9"/>
    <mergeCell ref="AR5:AR9"/>
  </mergeCells>
  <conditionalFormatting sqref="D12:AG12 D14:AG14 D17:AG17 D19:AG19 D21:AG21 D23:AG24 D26:AG29 D31:AG31 D33:AG34 D36:AG48 D50:AG59 D62:AG72 D76:AG77 D79:AG80">
    <cfRule type="containsText" dxfId="116" priority="3" operator="containsText" text="AH">
      <formula>NOT(ISERROR(SEARCH("AH",D12)))</formula>
    </cfRule>
    <cfRule type="containsText" dxfId="115" priority="4" operator="containsText" text="TP">
      <formula>NOT(ISERROR(SEARCH("TP",D12)))</formula>
    </cfRule>
    <cfRule type="containsText" dxfId="114" priority="5" operator="containsText" text="TAD">
      <formula>NOT(ISERROR(SEARCH("TAD",D12)))</formula>
    </cfRule>
    <cfRule type="containsText" dxfId="113" priority="6" operator="containsText" text="AT">
      <formula>NOT(ISERROR(SEARCH("AT",D12)))</formula>
    </cfRule>
    <cfRule type="containsText" dxfId="112" priority="7" operator="containsText" text="MA">
      <formula>NOT(ISERROR(SEARCH("MA",D12)))</formula>
    </cfRule>
    <cfRule type="containsText" dxfId="111" priority="8" operator="containsText" text="RES">
      <formula>NOT(ISERROR(SEARCH("RES",D12)))</formula>
    </cfRule>
    <cfRule type="containsText" dxfId="110" priority="9" operator="containsText" text="CEX">
      <formula>NOT(ISERROR(SEARCH("CEX",D12)))</formula>
    </cfRule>
    <cfRule type="containsText" dxfId="109" priority="10" operator="containsText" text="RTT">
      <formula>NOT(ISERROR(SEARCH("RTT",D12)))</formula>
    </cfRule>
    <cfRule type="beginsWith" dxfId="108" priority="11" operator="beginsWith" text="CA">
      <formula>LEFT(D12,LEN("CA"))="CA"</formula>
    </cfRule>
    <cfRule type="containsText" dxfId="107" priority="12" operator="containsText" text="AST">
      <formula>NOT(ISERROR(SEARCH("AST",D12)))</formula>
    </cfRule>
    <cfRule type="containsText" dxfId="106" priority="13" operator="containsText" text="F">
      <formula>NOT(ISERROR(SEARCH("F",D12)))</formula>
    </cfRule>
    <cfRule type="containsText" dxfId="105" priority="14" operator="containsText" text="PC">
      <formula>NOT(ISERROR(SEARCH("PC",D12)))</formula>
    </cfRule>
    <cfRule type="containsText" dxfId="104" priority="15" operator="containsText" text="P">
      <formula>NOT(ISERROR(SEARCH("P",D12)))</formula>
    </cfRule>
  </conditionalFormatting>
  <conditionalFormatting sqref="D9:AG10 D12:AG12 D14:AG14 D17:AG17 D19:AG19 D21:AG21 D23:AG24 D26:AG29 D31:AG31 D33:AG34 D36:AG37 D40:AG40 D42:AG42 D44:AG45 D47:AG48 D50:AG60 D62:AG74 D76:AG77 D79:AG80">
    <cfRule type="expression" dxfId="10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02" priority="2">
      <formula>OR(D$9=1,D$9=7)</formula>
    </cfRule>
  </conditionalFormatting>
  <dataValidations count="1">
    <dataValidation type="list" showInputMessage="1" showErrorMessage="1" sqref="D12:AG12 D79:AG80 D76:AG77 D62:AG72 D50:AG59 D36:AG48 D33:AG34 D31:AG31 D26:AG29 D23:AG24 D21:AG21 D17:AG19 D14:AG14" xr:uid="{B24ADFB9-1C11-4B54-B7D1-5AC315A358D5}">
      <formula1>$AH$10:$AT$10</formula1>
    </dataValidation>
  </dataValidations>
  <pageMargins left="0.7" right="0.7" top="0.75" bottom="0.75" header="0.3" footer="0.3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B44-A8D3-4DD6-9E27-55FE46BEA95D}">
  <sheetPr codeName="Feuil27">
    <outlinePr summaryRight="0"/>
  </sheetPr>
  <dimension ref="A1:AU106"/>
  <sheetViews>
    <sheetView zoomScaleNormal="100" workbookViewId="0">
      <pane ySplit="10" topLeftCell="A68" activePane="bottomLeft" state="frozen"/>
      <selection activeCell="B1" sqref="B1"/>
      <selection pane="bottomLeft" activeCell="AC19" sqref="AC19:AG19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Menu!D31</f>
        <v>46296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Menu!E31</f>
        <v>46326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46296</v>
      </c>
      <c r="E4" s="55">
        <f t="shared" ref="E4:AH4" si="0">D4+1</f>
        <v>46297</v>
      </c>
      <c r="F4" s="55">
        <f t="shared" si="0"/>
        <v>46298</v>
      </c>
      <c r="G4" s="55">
        <f t="shared" si="0"/>
        <v>46299</v>
      </c>
      <c r="H4" s="55">
        <f t="shared" si="0"/>
        <v>46300</v>
      </c>
      <c r="I4" s="55">
        <f t="shared" si="0"/>
        <v>46301</v>
      </c>
      <c r="J4" s="55">
        <f t="shared" si="0"/>
        <v>46302</v>
      </c>
      <c r="K4" s="55">
        <f t="shared" si="0"/>
        <v>46303</v>
      </c>
      <c r="L4" s="55">
        <f t="shared" si="0"/>
        <v>46304</v>
      </c>
      <c r="M4" s="55">
        <f t="shared" si="0"/>
        <v>46305</v>
      </c>
      <c r="N4" s="55">
        <f t="shared" si="0"/>
        <v>46306</v>
      </c>
      <c r="O4" s="55">
        <f t="shared" si="0"/>
        <v>46307</v>
      </c>
      <c r="P4" s="55">
        <f t="shared" si="0"/>
        <v>46308</v>
      </c>
      <c r="Q4" s="55">
        <f t="shared" si="0"/>
        <v>46309</v>
      </c>
      <c r="R4" s="55">
        <f t="shared" si="0"/>
        <v>46310</v>
      </c>
      <c r="S4" s="55">
        <f t="shared" si="0"/>
        <v>46311</v>
      </c>
      <c r="T4" s="55">
        <f t="shared" si="0"/>
        <v>46312</v>
      </c>
      <c r="U4" s="55">
        <f t="shared" si="0"/>
        <v>46313</v>
      </c>
      <c r="V4" s="55">
        <f t="shared" si="0"/>
        <v>46314</v>
      </c>
      <c r="W4" s="55">
        <f t="shared" si="0"/>
        <v>46315</v>
      </c>
      <c r="X4" s="55">
        <f t="shared" si="0"/>
        <v>46316</v>
      </c>
      <c r="Y4" s="55">
        <f t="shared" si="0"/>
        <v>46317</v>
      </c>
      <c r="Z4" s="55">
        <f t="shared" si="0"/>
        <v>46318</v>
      </c>
      <c r="AA4" s="55">
        <f t="shared" si="0"/>
        <v>46319</v>
      </c>
      <c r="AB4" s="55">
        <f t="shared" si="0"/>
        <v>46320</v>
      </c>
      <c r="AC4" s="55">
        <f t="shared" si="0"/>
        <v>46321</v>
      </c>
      <c r="AD4" s="55">
        <f t="shared" si="0"/>
        <v>46322</v>
      </c>
      <c r="AE4" s="55">
        <f t="shared" si="0"/>
        <v>46323</v>
      </c>
      <c r="AF4" s="55">
        <f t="shared" si="0"/>
        <v>46324</v>
      </c>
      <c r="AG4" s="55">
        <f t="shared" si="0"/>
        <v>46325</v>
      </c>
      <c r="AH4" s="55">
        <f t="shared" si="0"/>
        <v>46326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octobre-2026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5</v>
      </c>
      <c r="E9" s="74">
        <f t="shared" si="1"/>
        <v>6</v>
      </c>
      <c r="F9" s="74">
        <f t="shared" si="1"/>
        <v>7</v>
      </c>
      <c r="G9" s="74">
        <f t="shared" si="1"/>
        <v>1</v>
      </c>
      <c r="H9" s="74">
        <f t="shared" si="1"/>
        <v>2</v>
      </c>
      <c r="I9" s="74">
        <f t="shared" si="1"/>
        <v>3</v>
      </c>
      <c r="J9" s="74">
        <f t="shared" si="1"/>
        <v>4</v>
      </c>
      <c r="K9" s="74">
        <f t="shared" si="1"/>
        <v>5</v>
      </c>
      <c r="L9" s="74">
        <f t="shared" si="1"/>
        <v>6</v>
      </c>
      <c r="M9" s="74">
        <f t="shared" si="1"/>
        <v>7</v>
      </c>
      <c r="N9" s="74">
        <f t="shared" si="1"/>
        <v>1</v>
      </c>
      <c r="O9" s="74">
        <f t="shared" si="1"/>
        <v>2</v>
      </c>
      <c r="P9" s="74">
        <f t="shared" si="1"/>
        <v>3</v>
      </c>
      <c r="Q9" s="74">
        <f t="shared" si="1"/>
        <v>4</v>
      </c>
      <c r="R9" s="74">
        <f t="shared" si="1"/>
        <v>5</v>
      </c>
      <c r="S9" s="74">
        <f t="shared" si="1"/>
        <v>6</v>
      </c>
      <c r="T9" s="74">
        <f t="shared" si="1"/>
        <v>7</v>
      </c>
      <c r="U9" s="74">
        <f t="shared" si="1"/>
        <v>1</v>
      </c>
      <c r="V9" s="74">
        <f t="shared" si="1"/>
        <v>2</v>
      </c>
      <c r="W9" s="74">
        <f t="shared" si="1"/>
        <v>3</v>
      </c>
      <c r="X9" s="74">
        <f t="shared" si="1"/>
        <v>4</v>
      </c>
      <c r="Y9" s="74">
        <f t="shared" si="1"/>
        <v>5</v>
      </c>
      <c r="Z9" s="74">
        <f t="shared" si="1"/>
        <v>6</v>
      </c>
      <c r="AA9" s="74">
        <f t="shared" si="1"/>
        <v>7</v>
      </c>
      <c r="AB9" s="74">
        <f t="shared" si="1"/>
        <v>1</v>
      </c>
      <c r="AC9" s="74">
        <f t="shared" si="1"/>
        <v>2</v>
      </c>
      <c r="AD9" s="74">
        <f t="shared" si="1"/>
        <v>3</v>
      </c>
      <c r="AE9" s="74">
        <f t="shared" si="1"/>
        <v>4</v>
      </c>
      <c r="AF9" s="74">
        <f t="shared" si="1"/>
        <v>5</v>
      </c>
      <c r="AG9" s="74">
        <f t="shared" si="1"/>
        <v>6</v>
      </c>
      <c r="AH9" s="179">
        <f t="shared" si="1"/>
        <v>7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 t="s">
        <v>235</v>
      </c>
      <c r="E19" s="78" t="s">
        <v>235</v>
      </c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 t="s">
        <v>233</v>
      </c>
      <c r="AD19" s="78" t="s">
        <v>233</v>
      </c>
      <c r="AE19" s="78" t="s">
        <v>233</v>
      </c>
      <c r="AF19" s="78" t="s">
        <v>233</v>
      </c>
      <c r="AG19" s="78" t="s">
        <v>233</v>
      </c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5</v>
      </c>
      <c r="AL19" s="185">
        <f>COUNTIF(D19:AG19,"f")</f>
        <v>0</v>
      </c>
      <c r="AM19" s="186">
        <f>COUNTIF(D19:AG19,"ast")</f>
        <v>2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0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5</v>
      </c>
      <c r="G84" s="102">
        <f>COUNTIF(D11:AH36,"f")</f>
        <v>0</v>
      </c>
      <c r="H84" s="102">
        <f>COUNTIF(D11:AH36,"ast")</f>
        <v>2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0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0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1:AH21 D23:AH24 D26:AH29 D31:AH31 D33:AH34 D36:AH48 D50:AH59 D62:AH72 D76:AH77 D79:AH80">
    <cfRule type="containsText" dxfId="101" priority="3" operator="containsText" text="AH">
      <formula>NOT(ISERROR(SEARCH("AH",D12)))</formula>
    </cfRule>
    <cfRule type="containsText" dxfId="100" priority="4" operator="containsText" text="TP">
      <formula>NOT(ISERROR(SEARCH("TP",D12)))</formula>
    </cfRule>
    <cfRule type="containsText" dxfId="99" priority="5" operator="containsText" text="TAD">
      <formula>NOT(ISERROR(SEARCH("TAD",D12)))</formula>
    </cfRule>
    <cfRule type="containsText" dxfId="98" priority="6" operator="containsText" text="AT">
      <formula>NOT(ISERROR(SEARCH("AT",D12)))</formula>
    </cfRule>
    <cfRule type="containsText" dxfId="97" priority="7" operator="containsText" text="MA">
      <formula>NOT(ISERROR(SEARCH("MA",D12)))</formula>
    </cfRule>
    <cfRule type="containsText" dxfId="96" priority="8" operator="containsText" text="RES">
      <formula>NOT(ISERROR(SEARCH("RES",D12)))</formula>
    </cfRule>
    <cfRule type="containsText" dxfId="95" priority="9" operator="containsText" text="CEX">
      <formula>NOT(ISERROR(SEARCH("CEX",D12)))</formula>
    </cfRule>
    <cfRule type="containsText" dxfId="94" priority="10" operator="containsText" text="RTT">
      <formula>NOT(ISERROR(SEARCH("RTT",D12)))</formula>
    </cfRule>
    <cfRule type="beginsWith" dxfId="93" priority="11" operator="beginsWith" text="CA">
      <formula>LEFT(D12,LEN("CA"))="CA"</formula>
    </cfRule>
    <cfRule type="containsText" dxfId="92" priority="12" operator="containsText" text="AST">
      <formula>NOT(ISERROR(SEARCH("AST",D12)))</formula>
    </cfRule>
    <cfRule type="containsText" dxfId="91" priority="13" operator="containsText" text="F">
      <formula>NOT(ISERROR(SEARCH("F",D12)))</formula>
    </cfRule>
    <cfRule type="containsText" dxfId="90" priority="14" operator="containsText" text="PC">
      <formula>NOT(ISERROR(SEARCH("PC",D12)))</formula>
    </cfRule>
    <cfRule type="containsText" dxfId="89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88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87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75CC7F98-FFA2-463B-864B-52F525CE16F1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2DF45-A5E2-453F-9BE9-6DCFD07A594C}">
  <sheetPr codeName="Feuil28">
    <outlinePr summaryRight="0"/>
  </sheetPr>
  <dimension ref="A1:AU106"/>
  <sheetViews>
    <sheetView zoomScaleNormal="100" workbookViewId="0">
      <pane ySplit="10" topLeftCell="A62" activePane="bottomLeft" state="frozen"/>
      <selection activeCell="B1" sqref="B1"/>
      <selection pane="bottomLeft" activeCell="AD19" sqref="AD19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Menu!D32</f>
        <v>46327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Menu!E32</f>
        <v>46356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46327</v>
      </c>
      <c r="E4" s="55">
        <f t="shared" ref="E4:AH4" si="0">D4+1</f>
        <v>46328</v>
      </c>
      <c r="F4" s="55">
        <f t="shared" si="0"/>
        <v>46329</v>
      </c>
      <c r="G4" s="55">
        <f t="shared" si="0"/>
        <v>46330</v>
      </c>
      <c r="H4" s="55">
        <f t="shared" si="0"/>
        <v>46331</v>
      </c>
      <c r="I4" s="55">
        <f t="shared" si="0"/>
        <v>46332</v>
      </c>
      <c r="J4" s="55">
        <f t="shared" si="0"/>
        <v>46333</v>
      </c>
      <c r="K4" s="55">
        <f t="shared" si="0"/>
        <v>46334</v>
      </c>
      <c r="L4" s="55">
        <f t="shared" si="0"/>
        <v>46335</v>
      </c>
      <c r="M4" s="55">
        <f t="shared" si="0"/>
        <v>46336</v>
      </c>
      <c r="N4" s="55">
        <f t="shared" si="0"/>
        <v>46337</v>
      </c>
      <c r="O4" s="55">
        <f t="shared" si="0"/>
        <v>46338</v>
      </c>
      <c r="P4" s="55">
        <f t="shared" si="0"/>
        <v>46339</v>
      </c>
      <c r="Q4" s="55">
        <f t="shared" si="0"/>
        <v>46340</v>
      </c>
      <c r="R4" s="55">
        <f t="shared" si="0"/>
        <v>46341</v>
      </c>
      <c r="S4" s="55">
        <f t="shared" si="0"/>
        <v>46342</v>
      </c>
      <c r="T4" s="55">
        <f t="shared" si="0"/>
        <v>46343</v>
      </c>
      <c r="U4" s="55">
        <f t="shared" si="0"/>
        <v>46344</v>
      </c>
      <c r="V4" s="55">
        <f t="shared" si="0"/>
        <v>46345</v>
      </c>
      <c r="W4" s="55">
        <f t="shared" si="0"/>
        <v>46346</v>
      </c>
      <c r="X4" s="55">
        <f t="shared" si="0"/>
        <v>46347</v>
      </c>
      <c r="Y4" s="55">
        <f t="shared" si="0"/>
        <v>46348</v>
      </c>
      <c r="Z4" s="55">
        <f t="shared" si="0"/>
        <v>46349</v>
      </c>
      <c r="AA4" s="55">
        <f t="shared" si="0"/>
        <v>46350</v>
      </c>
      <c r="AB4" s="55">
        <f t="shared" si="0"/>
        <v>46351</v>
      </c>
      <c r="AC4" s="55">
        <f t="shared" si="0"/>
        <v>46352</v>
      </c>
      <c r="AD4" s="55">
        <f t="shared" si="0"/>
        <v>46353</v>
      </c>
      <c r="AE4" s="55">
        <f t="shared" si="0"/>
        <v>46354</v>
      </c>
      <c r="AF4" s="55">
        <f t="shared" si="0"/>
        <v>46355</v>
      </c>
      <c r="AG4" s="55">
        <f t="shared" si="0"/>
        <v>46356</v>
      </c>
      <c r="AH4" s="55">
        <f t="shared" si="0"/>
        <v>46357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novembre-2026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1</v>
      </c>
      <c r="E9" s="74">
        <f t="shared" si="1"/>
        <v>2</v>
      </c>
      <c r="F9" s="74">
        <f t="shared" si="1"/>
        <v>3</v>
      </c>
      <c r="G9" s="74">
        <f t="shared" si="1"/>
        <v>4</v>
      </c>
      <c r="H9" s="74">
        <f t="shared" si="1"/>
        <v>5</v>
      </c>
      <c r="I9" s="74">
        <f t="shared" si="1"/>
        <v>6</v>
      </c>
      <c r="J9" s="74">
        <f t="shared" si="1"/>
        <v>7</v>
      </c>
      <c r="K9" s="74">
        <f t="shared" si="1"/>
        <v>1</v>
      </c>
      <c r="L9" s="74">
        <f t="shared" si="1"/>
        <v>2</v>
      </c>
      <c r="M9" s="74">
        <f t="shared" si="1"/>
        <v>3</v>
      </c>
      <c r="N9" s="74">
        <f t="shared" si="1"/>
        <v>4</v>
      </c>
      <c r="O9" s="74">
        <f t="shared" si="1"/>
        <v>5</v>
      </c>
      <c r="P9" s="74">
        <f t="shared" si="1"/>
        <v>6</v>
      </c>
      <c r="Q9" s="74">
        <f t="shared" si="1"/>
        <v>7</v>
      </c>
      <c r="R9" s="74">
        <f t="shared" si="1"/>
        <v>1</v>
      </c>
      <c r="S9" s="74">
        <f t="shared" si="1"/>
        <v>2</v>
      </c>
      <c r="T9" s="74">
        <f t="shared" si="1"/>
        <v>3</v>
      </c>
      <c r="U9" s="74">
        <f t="shared" si="1"/>
        <v>4</v>
      </c>
      <c r="V9" s="74">
        <f t="shared" si="1"/>
        <v>5</v>
      </c>
      <c r="W9" s="74">
        <f t="shared" si="1"/>
        <v>6</v>
      </c>
      <c r="X9" s="74">
        <f t="shared" si="1"/>
        <v>7</v>
      </c>
      <c r="Y9" s="74">
        <f t="shared" si="1"/>
        <v>1</v>
      </c>
      <c r="Z9" s="74">
        <f t="shared" si="1"/>
        <v>2</v>
      </c>
      <c r="AA9" s="74">
        <f t="shared" si="1"/>
        <v>3</v>
      </c>
      <c r="AB9" s="74">
        <f t="shared" si="1"/>
        <v>4</v>
      </c>
      <c r="AC9" s="74">
        <f t="shared" si="1"/>
        <v>5</v>
      </c>
      <c r="AD9" s="74">
        <f t="shared" si="1"/>
        <v>6</v>
      </c>
      <c r="AE9" s="74">
        <f t="shared" si="1"/>
        <v>7</v>
      </c>
      <c r="AF9" s="74">
        <f t="shared" si="1"/>
        <v>1</v>
      </c>
      <c r="AG9" s="74">
        <f t="shared" si="1"/>
        <v>2</v>
      </c>
      <c r="AH9" s="179">
        <f t="shared" si="1"/>
        <v>3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 t="s">
        <v>233</v>
      </c>
      <c r="M14" s="78" t="s">
        <v>233</v>
      </c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2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 t="s">
        <v>234</v>
      </c>
      <c r="H19" s="78" t="s">
        <v>234</v>
      </c>
      <c r="I19" s="78" t="s">
        <v>234</v>
      </c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 t="s">
        <v>233</v>
      </c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1</v>
      </c>
      <c r="AL19" s="185">
        <f>COUNTIF(D19:AG19,"f")</f>
        <v>3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0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3</v>
      </c>
      <c r="G84" s="102">
        <f>COUNTIF(D11:AH36,"f")</f>
        <v>3</v>
      </c>
      <c r="H84" s="102">
        <f>COUNTIF(D11:AH36,"ast")</f>
        <v>0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0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0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1:AH21 D23:AH24 D26:AH29 D31:AH31 D33:AH34 D36:AH48 D50:AH59 D62:AH72 D76:AH77 D79:AH80">
    <cfRule type="containsText" dxfId="86" priority="3" operator="containsText" text="AH">
      <formula>NOT(ISERROR(SEARCH("AH",D12)))</formula>
    </cfRule>
    <cfRule type="containsText" dxfId="85" priority="4" operator="containsText" text="TP">
      <formula>NOT(ISERROR(SEARCH("TP",D12)))</formula>
    </cfRule>
    <cfRule type="containsText" dxfId="84" priority="5" operator="containsText" text="TAD">
      <formula>NOT(ISERROR(SEARCH("TAD",D12)))</formula>
    </cfRule>
    <cfRule type="containsText" dxfId="83" priority="6" operator="containsText" text="AT">
      <formula>NOT(ISERROR(SEARCH("AT",D12)))</formula>
    </cfRule>
    <cfRule type="containsText" dxfId="82" priority="7" operator="containsText" text="MA">
      <formula>NOT(ISERROR(SEARCH("MA",D12)))</formula>
    </cfRule>
    <cfRule type="containsText" dxfId="81" priority="8" operator="containsText" text="RES">
      <formula>NOT(ISERROR(SEARCH("RES",D12)))</formula>
    </cfRule>
    <cfRule type="containsText" dxfId="80" priority="9" operator="containsText" text="CEX">
      <formula>NOT(ISERROR(SEARCH("CEX",D12)))</formula>
    </cfRule>
    <cfRule type="containsText" dxfId="79" priority="10" operator="containsText" text="RTT">
      <formula>NOT(ISERROR(SEARCH("RTT",D12)))</formula>
    </cfRule>
    <cfRule type="beginsWith" dxfId="78" priority="11" operator="beginsWith" text="CA">
      <formula>LEFT(D12,LEN("CA"))="CA"</formula>
    </cfRule>
    <cfRule type="containsText" dxfId="77" priority="12" operator="containsText" text="AST">
      <formula>NOT(ISERROR(SEARCH("AST",D12)))</formula>
    </cfRule>
    <cfRule type="containsText" dxfId="76" priority="13" operator="containsText" text="F">
      <formula>NOT(ISERROR(SEARCH("F",D12)))</formula>
    </cfRule>
    <cfRule type="containsText" dxfId="75" priority="14" operator="containsText" text="PC">
      <formula>NOT(ISERROR(SEARCH("PC",D12)))</formula>
    </cfRule>
    <cfRule type="containsText" dxfId="74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7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72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C48CFF3A-A268-4F94-8A12-2554109F8D36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06D9E-C2CC-4F57-9387-51250F99B53C}">
  <sheetPr codeName="Feuil29">
    <outlinePr summaryRight="0"/>
  </sheetPr>
  <dimension ref="A1:AU106"/>
  <sheetViews>
    <sheetView zoomScaleNormal="100" workbookViewId="0">
      <pane ySplit="10" topLeftCell="A68" activePane="bottomLeft" state="frozen"/>
      <selection activeCell="B1" sqref="B1"/>
      <selection pane="bottomLeft" activeCell="M24" sqref="M24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Menu!D33</f>
        <v>46357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Menu!E33</f>
        <v>46387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46357</v>
      </c>
      <c r="E4" s="55">
        <f t="shared" ref="E4:AH4" si="0">D4+1</f>
        <v>46358</v>
      </c>
      <c r="F4" s="55">
        <f t="shared" si="0"/>
        <v>46359</v>
      </c>
      <c r="G4" s="55">
        <f t="shared" si="0"/>
        <v>46360</v>
      </c>
      <c r="H4" s="55">
        <f t="shared" si="0"/>
        <v>46361</v>
      </c>
      <c r="I4" s="55">
        <f t="shared" si="0"/>
        <v>46362</v>
      </c>
      <c r="J4" s="55">
        <f t="shared" si="0"/>
        <v>46363</v>
      </c>
      <c r="K4" s="55">
        <f t="shared" si="0"/>
        <v>46364</v>
      </c>
      <c r="L4" s="55">
        <f t="shared" si="0"/>
        <v>46365</v>
      </c>
      <c r="M4" s="55">
        <f t="shared" si="0"/>
        <v>46366</v>
      </c>
      <c r="N4" s="55">
        <f t="shared" si="0"/>
        <v>46367</v>
      </c>
      <c r="O4" s="55">
        <f t="shared" si="0"/>
        <v>46368</v>
      </c>
      <c r="P4" s="55">
        <f t="shared" si="0"/>
        <v>46369</v>
      </c>
      <c r="Q4" s="55">
        <f t="shared" si="0"/>
        <v>46370</v>
      </c>
      <c r="R4" s="55">
        <f t="shared" si="0"/>
        <v>46371</v>
      </c>
      <c r="S4" s="55">
        <f t="shared" si="0"/>
        <v>46372</v>
      </c>
      <c r="T4" s="55">
        <f t="shared" si="0"/>
        <v>46373</v>
      </c>
      <c r="U4" s="55">
        <f t="shared" si="0"/>
        <v>46374</v>
      </c>
      <c r="V4" s="55">
        <f t="shared" si="0"/>
        <v>46375</v>
      </c>
      <c r="W4" s="55">
        <f t="shared" si="0"/>
        <v>46376</v>
      </c>
      <c r="X4" s="55">
        <f t="shared" si="0"/>
        <v>46377</v>
      </c>
      <c r="Y4" s="55">
        <f t="shared" si="0"/>
        <v>46378</v>
      </c>
      <c r="Z4" s="55">
        <f t="shared" si="0"/>
        <v>46379</v>
      </c>
      <c r="AA4" s="55">
        <f t="shared" si="0"/>
        <v>46380</v>
      </c>
      <c r="AB4" s="55">
        <f t="shared" si="0"/>
        <v>46381</v>
      </c>
      <c r="AC4" s="55">
        <f t="shared" si="0"/>
        <v>46382</v>
      </c>
      <c r="AD4" s="55">
        <f t="shared" si="0"/>
        <v>46383</v>
      </c>
      <c r="AE4" s="55">
        <f t="shared" si="0"/>
        <v>46384</v>
      </c>
      <c r="AF4" s="55">
        <f t="shared" si="0"/>
        <v>46385</v>
      </c>
      <c r="AG4" s="55">
        <f t="shared" si="0"/>
        <v>46386</v>
      </c>
      <c r="AH4" s="55">
        <f t="shared" si="0"/>
        <v>46387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décembre-2026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3</v>
      </c>
      <c r="E9" s="74">
        <f t="shared" si="1"/>
        <v>4</v>
      </c>
      <c r="F9" s="74">
        <f t="shared" si="1"/>
        <v>5</v>
      </c>
      <c r="G9" s="74">
        <f t="shared" si="1"/>
        <v>6</v>
      </c>
      <c r="H9" s="74">
        <f t="shared" si="1"/>
        <v>7</v>
      </c>
      <c r="I9" s="74">
        <f t="shared" si="1"/>
        <v>1</v>
      </c>
      <c r="J9" s="74">
        <f t="shared" si="1"/>
        <v>2</v>
      </c>
      <c r="K9" s="74">
        <f t="shared" si="1"/>
        <v>3</v>
      </c>
      <c r="L9" s="74">
        <f t="shared" si="1"/>
        <v>4</v>
      </c>
      <c r="M9" s="74">
        <f t="shared" si="1"/>
        <v>5</v>
      </c>
      <c r="N9" s="74">
        <f t="shared" si="1"/>
        <v>6</v>
      </c>
      <c r="O9" s="74">
        <f t="shared" si="1"/>
        <v>7</v>
      </c>
      <c r="P9" s="74">
        <f t="shared" si="1"/>
        <v>1</v>
      </c>
      <c r="Q9" s="74">
        <f t="shared" si="1"/>
        <v>2</v>
      </c>
      <c r="R9" s="74">
        <f t="shared" si="1"/>
        <v>3</v>
      </c>
      <c r="S9" s="74">
        <f t="shared" si="1"/>
        <v>4</v>
      </c>
      <c r="T9" s="74">
        <f t="shared" si="1"/>
        <v>5</v>
      </c>
      <c r="U9" s="74">
        <f t="shared" si="1"/>
        <v>6</v>
      </c>
      <c r="V9" s="74">
        <f t="shared" si="1"/>
        <v>7</v>
      </c>
      <c r="W9" s="74">
        <f t="shared" si="1"/>
        <v>1</v>
      </c>
      <c r="X9" s="74">
        <f t="shared" si="1"/>
        <v>2</v>
      </c>
      <c r="Y9" s="74">
        <f t="shared" si="1"/>
        <v>3</v>
      </c>
      <c r="Z9" s="74">
        <f t="shared" si="1"/>
        <v>4</v>
      </c>
      <c r="AA9" s="74">
        <f t="shared" si="1"/>
        <v>5</v>
      </c>
      <c r="AB9" s="74">
        <f t="shared" si="1"/>
        <v>6</v>
      </c>
      <c r="AC9" s="74">
        <f t="shared" si="1"/>
        <v>7</v>
      </c>
      <c r="AD9" s="74">
        <f t="shared" si="1"/>
        <v>1</v>
      </c>
      <c r="AE9" s="74">
        <f t="shared" si="1"/>
        <v>2</v>
      </c>
      <c r="AF9" s="74">
        <f t="shared" si="1"/>
        <v>3</v>
      </c>
      <c r="AG9" s="74">
        <f t="shared" si="1"/>
        <v>4</v>
      </c>
      <c r="AH9" s="179">
        <f t="shared" si="1"/>
        <v>5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 t="s">
        <v>233</v>
      </c>
      <c r="AF14" s="78" t="s">
        <v>233</v>
      </c>
      <c r="AG14" s="78" t="s">
        <v>233</v>
      </c>
      <c r="AH14" s="78" t="s">
        <v>233</v>
      </c>
      <c r="AI14" s="183">
        <f>COUNTIF(D14:AG14,"p")</f>
        <v>0</v>
      </c>
      <c r="AJ14" s="183">
        <f>COUNTIF(D14:AH14,"AH")</f>
        <v>0</v>
      </c>
      <c r="AK14" s="184">
        <f>COUNTIF(D14:AG14,"PC")</f>
        <v>3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 t="s">
        <v>233</v>
      </c>
      <c r="U19" s="78" t="s">
        <v>233</v>
      </c>
      <c r="V19" s="78"/>
      <c r="W19" s="78"/>
      <c r="X19" s="78" t="s">
        <v>233</v>
      </c>
      <c r="Y19" s="78" t="s">
        <v>233</v>
      </c>
      <c r="Z19" s="78" t="s">
        <v>233</v>
      </c>
      <c r="AA19" s="78" t="s">
        <v>233</v>
      </c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6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 t="s">
        <v>235</v>
      </c>
      <c r="H21" s="78" t="s">
        <v>235</v>
      </c>
      <c r="I21" s="78" t="s">
        <v>235</v>
      </c>
      <c r="J21" s="78" t="s">
        <v>235</v>
      </c>
      <c r="K21" s="78" t="s">
        <v>235</v>
      </c>
      <c r="L21" s="78" t="s">
        <v>235</v>
      </c>
      <c r="M21" s="78" t="s">
        <v>235</v>
      </c>
      <c r="N21" s="78" t="s">
        <v>235</v>
      </c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8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 t="s">
        <v>233</v>
      </c>
      <c r="Y53" s="75" t="s">
        <v>233</v>
      </c>
      <c r="Z53" s="75" t="s">
        <v>233</v>
      </c>
      <c r="AA53" s="75" t="s">
        <v>233</v>
      </c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4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 t="s">
        <v>233</v>
      </c>
      <c r="Y59" s="75" t="s">
        <v>233</v>
      </c>
      <c r="Z59" s="75" t="s">
        <v>233</v>
      </c>
      <c r="AA59" s="75" t="s">
        <v>233</v>
      </c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4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10</v>
      </c>
      <c r="G84" s="102">
        <f>COUNTIF(D11:AH36,"f")</f>
        <v>0</v>
      </c>
      <c r="H84" s="102">
        <f>COUNTIF(D11:AH36,"ast")</f>
        <v>8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8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0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3:AH24 D26:AH29 D31:AH31 D33:AH34 D36:AH48 D50:AH59 D62:AH72 D76:AH77 D79:AH80 D21:AH21">
    <cfRule type="containsText" dxfId="71" priority="3" operator="containsText" text="AH">
      <formula>NOT(ISERROR(SEARCH("AH",D12)))</formula>
    </cfRule>
    <cfRule type="containsText" dxfId="70" priority="4" operator="containsText" text="TP">
      <formula>NOT(ISERROR(SEARCH("TP",D12)))</formula>
    </cfRule>
    <cfRule type="containsText" dxfId="69" priority="5" operator="containsText" text="TAD">
      <formula>NOT(ISERROR(SEARCH("TAD",D12)))</formula>
    </cfRule>
    <cfRule type="containsText" dxfId="68" priority="6" operator="containsText" text="AT">
      <formula>NOT(ISERROR(SEARCH("AT",D12)))</formula>
    </cfRule>
    <cfRule type="containsText" dxfId="67" priority="7" operator="containsText" text="MA">
      <formula>NOT(ISERROR(SEARCH("MA",D12)))</formula>
    </cfRule>
    <cfRule type="containsText" dxfId="66" priority="8" operator="containsText" text="RES">
      <formula>NOT(ISERROR(SEARCH("RES",D12)))</formula>
    </cfRule>
    <cfRule type="containsText" dxfId="65" priority="9" operator="containsText" text="CEX">
      <formula>NOT(ISERROR(SEARCH("CEX",D12)))</formula>
    </cfRule>
    <cfRule type="containsText" dxfId="64" priority="10" operator="containsText" text="RTT">
      <formula>NOT(ISERROR(SEARCH("RTT",D12)))</formula>
    </cfRule>
    <cfRule type="beginsWith" dxfId="63" priority="11" operator="beginsWith" text="CA">
      <formula>LEFT(D12,LEN("CA"))="CA"</formula>
    </cfRule>
    <cfRule type="containsText" dxfId="62" priority="12" operator="containsText" text="AST">
      <formula>NOT(ISERROR(SEARCH("AST",D12)))</formula>
    </cfRule>
    <cfRule type="containsText" dxfId="61" priority="13" operator="containsText" text="F">
      <formula>NOT(ISERROR(SEARCH("F",D12)))</formula>
    </cfRule>
    <cfRule type="containsText" dxfId="60" priority="14" operator="containsText" text="PC">
      <formula>NOT(ISERROR(SEARCH("PC",D12)))</formula>
    </cfRule>
    <cfRule type="containsText" dxfId="59" priority="15" operator="containsText" text="P">
      <formula>NOT(ISERROR(SEARCH("P",D12)))</formula>
    </cfRule>
  </conditionalFormatting>
  <conditionalFormatting sqref="D9:AH10 D12:AH12 D14:AH14 D17:AH17 D19:AH19 D23:AH24 D26:AH29 D31:AH31 D33:AH34 D36:AH37 D40:AH40 D42:AH42 D44:AH45 D47:AH48 D50:AH60 D62:AH74 D76:AH77 D79:AH80 D21:AH21">
    <cfRule type="expression" dxfId="58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57" priority="2">
      <formula>OR(D$9=1,D$9=7)</formula>
    </cfRule>
  </conditionalFormatting>
  <dataValidations count="1">
    <dataValidation type="list" showInputMessage="1" showErrorMessage="1" sqref="D12:AH12 D14:AH14 D17:AH19 D79:AH80 D23:AH24 D26:AH29 D31:AH31 D33:AH34 D36:AH48 D50:AH59 D62:AH72 D76:AH77 D21:AH21" xr:uid="{C4F8318F-1F66-458B-BBAB-E8FF029804F6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062C0-DD47-4D43-9000-7AA3072CC53D}">
  <sheetPr codeName="Feuil30">
    <outlinePr summaryRight="0"/>
  </sheetPr>
  <dimension ref="A1:AU106"/>
  <sheetViews>
    <sheetView zoomScaleNormal="100" workbookViewId="0">
      <pane ySplit="10" topLeftCell="A11" activePane="bottomLeft" state="frozen"/>
      <selection activeCell="B1" sqref="B1"/>
      <selection pane="bottomLeft" activeCell="L12" sqref="L12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Menu!D34</f>
        <v>46388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Menu!E34</f>
        <v>46418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46388</v>
      </c>
      <c r="E4" s="55">
        <f t="shared" ref="E4:AH4" si="0">D4+1</f>
        <v>46389</v>
      </c>
      <c r="F4" s="55">
        <f t="shared" si="0"/>
        <v>46390</v>
      </c>
      <c r="G4" s="55">
        <f t="shared" si="0"/>
        <v>46391</v>
      </c>
      <c r="H4" s="55">
        <f t="shared" si="0"/>
        <v>46392</v>
      </c>
      <c r="I4" s="55">
        <f t="shared" si="0"/>
        <v>46393</v>
      </c>
      <c r="J4" s="55">
        <f t="shared" si="0"/>
        <v>46394</v>
      </c>
      <c r="K4" s="55">
        <f t="shared" si="0"/>
        <v>46395</v>
      </c>
      <c r="L4" s="55">
        <f t="shared" si="0"/>
        <v>46396</v>
      </c>
      <c r="M4" s="55">
        <f t="shared" si="0"/>
        <v>46397</v>
      </c>
      <c r="N4" s="55">
        <f t="shared" si="0"/>
        <v>46398</v>
      </c>
      <c r="O4" s="55">
        <f t="shared" si="0"/>
        <v>46399</v>
      </c>
      <c r="P4" s="55">
        <f t="shared" si="0"/>
        <v>46400</v>
      </c>
      <c r="Q4" s="55">
        <f t="shared" si="0"/>
        <v>46401</v>
      </c>
      <c r="R4" s="55">
        <f t="shared" si="0"/>
        <v>46402</v>
      </c>
      <c r="S4" s="55">
        <f t="shared" si="0"/>
        <v>46403</v>
      </c>
      <c r="T4" s="55">
        <f t="shared" si="0"/>
        <v>46404</v>
      </c>
      <c r="U4" s="55">
        <f t="shared" si="0"/>
        <v>46405</v>
      </c>
      <c r="V4" s="55">
        <f t="shared" si="0"/>
        <v>46406</v>
      </c>
      <c r="W4" s="55">
        <f t="shared" si="0"/>
        <v>46407</v>
      </c>
      <c r="X4" s="55">
        <f t="shared" si="0"/>
        <v>46408</v>
      </c>
      <c r="Y4" s="55">
        <f t="shared" si="0"/>
        <v>46409</v>
      </c>
      <c r="Z4" s="55">
        <f t="shared" si="0"/>
        <v>46410</v>
      </c>
      <c r="AA4" s="55">
        <f t="shared" si="0"/>
        <v>46411</v>
      </c>
      <c r="AB4" s="55">
        <f t="shared" si="0"/>
        <v>46412</v>
      </c>
      <c r="AC4" s="55">
        <f t="shared" si="0"/>
        <v>46413</v>
      </c>
      <c r="AD4" s="55">
        <f t="shared" si="0"/>
        <v>46414</v>
      </c>
      <c r="AE4" s="55">
        <f t="shared" si="0"/>
        <v>46415</v>
      </c>
      <c r="AF4" s="55">
        <f t="shared" si="0"/>
        <v>46416</v>
      </c>
      <c r="AG4" s="55">
        <f t="shared" si="0"/>
        <v>46417</v>
      </c>
      <c r="AH4" s="55">
        <f t="shared" si="0"/>
        <v>46418</v>
      </c>
    </row>
    <row r="5" spans="1:47" s="81" customFormat="1" ht="20.100000000000001" customHeight="1" x14ac:dyDescent="0.2">
      <c r="A5" s="178"/>
      <c r="B5" s="178"/>
      <c r="C5" s="178"/>
      <c r="D5" s="358" t="str">
        <f>TEXT(A1,"mmmm-aaaa")</f>
        <v>janvier-2027</v>
      </c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63" t="s">
        <v>218</v>
      </c>
      <c r="AJ5" s="363" t="s">
        <v>219</v>
      </c>
      <c r="AK5" s="362" t="s">
        <v>220</v>
      </c>
      <c r="AL5" s="364" t="s">
        <v>221</v>
      </c>
      <c r="AM5" s="365" t="s">
        <v>222</v>
      </c>
      <c r="AN5" s="370" t="s">
        <v>223</v>
      </c>
      <c r="AO5" s="367" t="s">
        <v>224</v>
      </c>
      <c r="AP5" s="366" t="s">
        <v>225</v>
      </c>
      <c r="AQ5" s="360" t="s">
        <v>226</v>
      </c>
      <c r="AR5" s="355" t="s">
        <v>227</v>
      </c>
      <c r="AS5" s="368" t="s">
        <v>228</v>
      </c>
      <c r="AT5" s="369" t="s">
        <v>229</v>
      </c>
      <c r="AU5" s="361" t="s">
        <v>230</v>
      </c>
    </row>
    <row r="6" spans="1:47" s="81" customFormat="1" ht="20.100000000000001" customHeight="1" x14ac:dyDescent="0.2">
      <c r="A6" s="178"/>
      <c r="B6" s="178"/>
      <c r="C6" s="178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6"/>
      <c r="AJ6" s="356"/>
      <c r="AK6" s="356"/>
      <c r="AL6" s="356"/>
      <c r="AM6" s="356"/>
      <c r="AN6" s="356"/>
      <c r="AO6" s="356"/>
      <c r="AP6" s="356"/>
      <c r="AQ6" s="356"/>
      <c r="AR6" s="356"/>
      <c r="AS6" s="356"/>
      <c r="AT6" s="356"/>
      <c r="AU6" s="356"/>
    </row>
    <row r="7" spans="1:47" s="81" customFormat="1" ht="20.100000000000001" customHeight="1" x14ac:dyDescent="0.2">
      <c r="A7" s="178"/>
      <c r="B7" s="178"/>
      <c r="C7" s="178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6"/>
      <c r="AJ7" s="356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356"/>
      <c r="AJ8" s="356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</row>
    <row r="9" spans="1:47" ht="15" customHeight="1" x14ac:dyDescent="0.2">
      <c r="A9" s="61"/>
      <c r="B9" s="62"/>
      <c r="C9" s="61"/>
      <c r="D9" s="74">
        <f t="shared" ref="D9:AH9" si="1">IFERROR(WEEKDAY(D4),"")</f>
        <v>6</v>
      </c>
      <c r="E9" s="74">
        <f t="shared" si="1"/>
        <v>7</v>
      </c>
      <c r="F9" s="74">
        <f t="shared" si="1"/>
        <v>1</v>
      </c>
      <c r="G9" s="74">
        <f t="shared" si="1"/>
        <v>2</v>
      </c>
      <c r="H9" s="74">
        <f t="shared" si="1"/>
        <v>3</v>
      </c>
      <c r="I9" s="74">
        <f t="shared" si="1"/>
        <v>4</v>
      </c>
      <c r="J9" s="74">
        <f t="shared" si="1"/>
        <v>5</v>
      </c>
      <c r="K9" s="74">
        <f t="shared" si="1"/>
        <v>6</v>
      </c>
      <c r="L9" s="74">
        <f t="shared" si="1"/>
        <v>7</v>
      </c>
      <c r="M9" s="74">
        <f t="shared" si="1"/>
        <v>1</v>
      </c>
      <c r="N9" s="74">
        <f t="shared" si="1"/>
        <v>2</v>
      </c>
      <c r="O9" s="74">
        <f t="shared" si="1"/>
        <v>3</v>
      </c>
      <c r="P9" s="74">
        <f t="shared" si="1"/>
        <v>4</v>
      </c>
      <c r="Q9" s="74">
        <f t="shared" si="1"/>
        <v>5</v>
      </c>
      <c r="R9" s="74">
        <f t="shared" si="1"/>
        <v>6</v>
      </c>
      <c r="S9" s="74">
        <f t="shared" si="1"/>
        <v>7</v>
      </c>
      <c r="T9" s="74">
        <f t="shared" si="1"/>
        <v>1</v>
      </c>
      <c r="U9" s="74">
        <f t="shared" si="1"/>
        <v>2</v>
      </c>
      <c r="V9" s="74">
        <f t="shared" si="1"/>
        <v>3</v>
      </c>
      <c r="W9" s="74">
        <f t="shared" si="1"/>
        <v>4</v>
      </c>
      <c r="X9" s="74">
        <f t="shared" si="1"/>
        <v>5</v>
      </c>
      <c r="Y9" s="74">
        <f t="shared" si="1"/>
        <v>6</v>
      </c>
      <c r="Z9" s="74">
        <f t="shared" si="1"/>
        <v>7</v>
      </c>
      <c r="AA9" s="74">
        <f t="shared" si="1"/>
        <v>1</v>
      </c>
      <c r="AB9" s="74">
        <f t="shared" si="1"/>
        <v>2</v>
      </c>
      <c r="AC9" s="74">
        <f t="shared" si="1"/>
        <v>3</v>
      </c>
      <c r="AD9" s="74">
        <f t="shared" si="1"/>
        <v>4</v>
      </c>
      <c r="AE9" s="74">
        <f t="shared" si="1"/>
        <v>5</v>
      </c>
      <c r="AF9" s="74">
        <f t="shared" si="1"/>
        <v>6</v>
      </c>
      <c r="AG9" s="74">
        <f t="shared" si="1"/>
        <v>7</v>
      </c>
      <c r="AH9" s="179">
        <f t="shared" si="1"/>
        <v>1</v>
      </c>
      <c r="AI9" s="357"/>
      <c r="AJ9" s="357"/>
      <c r="AK9" s="357"/>
      <c r="AL9" s="357"/>
      <c r="AM9" s="357"/>
      <c r="AN9" s="357"/>
      <c r="AO9" s="357"/>
      <c r="AP9" s="357"/>
      <c r="AQ9" s="357"/>
      <c r="AR9" s="357"/>
      <c r="AS9" s="357"/>
      <c r="AT9" s="357"/>
      <c r="AU9" s="357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231</v>
      </c>
      <c r="AJ10" s="107" t="s">
        <v>232</v>
      </c>
      <c r="AK10" s="108" t="s">
        <v>233</v>
      </c>
      <c r="AL10" s="109" t="s">
        <v>234</v>
      </c>
      <c r="AM10" s="110" t="s">
        <v>235</v>
      </c>
      <c r="AN10" s="111" t="s">
        <v>236</v>
      </c>
      <c r="AO10" s="112" t="s">
        <v>224</v>
      </c>
      <c r="AP10" s="113" t="s">
        <v>237</v>
      </c>
      <c r="AQ10" s="114" t="s">
        <v>238</v>
      </c>
      <c r="AR10" s="115" t="s">
        <v>239</v>
      </c>
      <c r="AS10" s="116" t="s">
        <v>240</v>
      </c>
      <c r="AT10" s="117" t="s">
        <v>241</v>
      </c>
      <c r="AU10" s="118" t="s">
        <v>242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0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ht="15" customHeight="1" x14ac:dyDescent="0.2">
      <c r="A29" s="28" t="str">
        <f>IFERROR(IF(config!A29="","",config!A29),"")</f>
        <v>C005216</v>
      </c>
      <c r="B29" s="29" t="str">
        <f>IFERROR(IF(config!B29="","",config!B29),"")</f>
        <v>PIEL</v>
      </c>
      <c r="C29" s="28" t="str">
        <f>IFERROR(IF(config!C29="","",config!C29),"")</f>
        <v>Frédy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215">
        <f>COUNTIF(D29:AG29,"p")</f>
        <v>0</v>
      </c>
      <c r="AJ29" s="215">
        <f>COUNTIF(D29:AH29,"AH")</f>
        <v>0</v>
      </c>
      <c r="AK29" s="216">
        <f>COUNTIF(D29:AG29,"PC")</f>
        <v>0</v>
      </c>
      <c r="AL29" s="217">
        <f>COUNTIF(D29:AG29,"f")</f>
        <v>0</v>
      </c>
      <c r="AM29" s="218">
        <f>COUNTIF(D29:AG29,"ast")</f>
        <v>0</v>
      </c>
      <c r="AN29" s="219">
        <f>COUNTIF(D29:AG29,"cA")</f>
        <v>0</v>
      </c>
      <c r="AO29" s="220">
        <f>COUNTIF(D29:AG29,"rtt")</f>
        <v>0</v>
      </c>
      <c r="AP29" s="221">
        <f>COUNTIF(D29:AG29,"cex")</f>
        <v>0</v>
      </c>
      <c r="AQ29" s="222">
        <f>COUNTIF(D29:AG29,"res")</f>
        <v>0</v>
      </c>
      <c r="AR29" s="223">
        <f>COUNTIF(D29:AG29,"mA")</f>
        <v>0</v>
      </c>
      <c r="AS29" s="224">
        <f>COUNTIF(D29:AG29,"at")</f>
        <v>0</v>
      </c>
      <c r="AT29" s="225">
        <f>COUNTIF(D29:AG29,"TAD")</f>
        <v>0</v>
      </c>
      <c r="AU29" s="226">
        <f>COUNTIF(D29:AG29,"TP")</f>
        <v>0</v>
      </c>
    </row>
    <row r="30" spans="1:47" s="5" customFormat="1" ht="15" customHeight="1" x14ac:dyDescent="0.25">
      <c r="A30" s="147" t="str">
        <f>IFERROR(IF(config!A30="","",config!A30),"")</f>
        <v/>
      </c>
      <c r="B30" s="148" t="str">
        <f>IFERROR(IF(config!B30="","",config!B30),"")</f>
        <v>Responsable de l’unité régie</v>
      </c>
      <c r="C30" s="149" t="str">
        <f>IFERROR(IF(config!C30="","",config!C30),"")</f>
        <v/>
      </c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30"/>
    </row>
    <row r="31" spans="1:47" ht="15" customHeight="1" x14ac:dyDescent="0.2">
      <c r="A31" s="30" t="str">
        <f>IFERROR(IF(config!A31="","",config!A31),"")</f>
        <v>C003285</v>
      </c>
      <c r="B31" s="31" t="str">
        <f>IFERROR(IF(config!B31="","",config!B31),"")</f>
        <v>FOURCADE</v>
      </c>
      <c r="C31" s="30" t="str">
        <f>IFERROR(IF(config!C31="","",config!C31),"")</f>
        <v>Hervé</v>
      </c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9"/>
      <c r="AI31" s="183">
        <f>COUNTIF(D31:AG31,"p")</f>
        <v>0</v>
      </c>
      <c r="AJ31" s="183">
        <f>COUNTIF(D31:AH31,"AH")</f>
        <v>0</v>
      </c>
      <c r="AK31" s="184">
        <f>COUNTIF(D31:AG31,"PC")</f>
        <v>0</v>
      </c>
      <c r="AL31" s="185">
        <f>COUNTIF(D31:AG31,"f")</f>
        <v>0</v>
      </c>
      <c r="AM31" s="186">
        <f>COUNTIF(D31:AG31,"ast")</f>
        <v>0</v>
      </c>
      <c r="AN31" s="187">
        <f>COUNTIF(D31:AG31,"cA")</f>
        <v>0</v>
      </c>
      <c r="AO31" s="188">
        <f>COUNTIF(D31:AG31,"rtt")</f>
        <v>0</v>
      </c>
      <c r="AP31" s="189">
        <f>COUNTIF(D31:AG31,"cex")</f>
        <v>0</v>
      </c>
      <c r="AQ31" s="190">
        <f>COUNTIF(D31:AG31,"res")</f>
        <v>0</v>
      </c>
      <c r="AR31" s="191">
        <f>COUNTIF(D31:AG31,"mA")</f>
        <v>0</v>
      </c>
      <c r="AS31" s="192">
        <f>COUNTIF(D31:AG31,"at")</f>
        <v>0</v>
      </c>
      <c r="AT31" s="193">
        <f>COUNTIF(D31:AG31,"TAD")</f>
        <v>0</v>
      </c>
      <c r="AU31" s="194">
        <f>COUNTIF(D31:AG31,"TP")</f>
        <v>0</v>
      </c>
    </row>
    <row r="32" spans="1:47" s="5" customFormat="1" ht="15" customHeight="1" x14ac:dyDescent="0.25">
      <c r="A32" s="147" t="str">
        <f>IFERROR(IF(config!A32="","",config!A32),"")</f>
        <v/>
      </c>
      <c r="B32" s="148" t="str">
        <f>IFERROR(IF(config!B32="","",config!B32),"")</f>
        <v>Responsable d’équipe voirie</v>
      </c>
      <c r="C32" s="149" t="str">
        <f>IFERROR(IF(config!C32="","",config!C32),"")</f>
        <v/>
      </c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229"/>
      <c r="AJ32" s="229"/>
      <c r="AK32" s="229"/>
      <c r="AL32" s="229"/>
      <c r="AM32" s="229"/>
      <c r="AN32" s="229"/>
      <c r="AO32" s="229"/>
      <c r="AP32" s="229"/>
      <c r="AQ32" s="229"/>
      <c r="AR32" s="229"/>
      <c r="AS32" s="229"/>
      <c r="AT32" s="229"/>
      <c r="AU32" s="230"/>
    </row>
    <row r="33" spans="1:47" ht="15" customHeight="1" x14ac:dyDescent="0.2">
      <c r="A33" s="47" t="str">
        <f>IFERROR(IF(config!A33="","",config!A33),"")</f>
        <v>JT030845</v>
      </c>
      <c r="B33" s="48" t="str">
        <f>IFERROR(IF(config!B33="","",config!B33),"")</f>
        <v>GONCALVES</v>
      </c>
      <c r="C33" s="47" t="str">
        <f>IFERROR(IF(config!C33="","",config!C33),"")</f>
        <v>Lionel</v>
      </c>
      <c r="D33" s="77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203">
        <f>COUNTIF(D33:AG33,"p")</f>
        <v>0</v>
      </c>
      <c r="AJ33" s="203">
        <f>COUNTIF(D33:AH33,"AH")</f>
        <v>0</v>
      </c>
      <c r="AK33" s="204">
        <f>COUNTIF(D33:AG33,"PC")</f>
        <v>0</v>
      </c>
      <c r="AL33" s="205">
        <f>COUNTIF(D33:AG33,"f")</f>
        <v>0</v>
      </c>
      <c r="AM33" s="206">
        <f>COUNTIF(D33:AG33,"ast")</f>
        <v>0</v>
      </c>
      <c r="AN33" s="207">
        <f>COUNTIF(D33:AG33,"cA")</f>
        <v>0</v>
      </c>
      <c r="AO33" s="208">
        <f>COUNTIF(D33:AG33,"rtt")</f>
        <v>0</v>
      </c>
      <c r="AP33" s="209">
        <f>COUNTIF(D33:AG33,"cex")</f>
        <v>0</v>
      </c>
      <c r="AQ33" s="210">
        <f>COUNTIF(D33:AG33,"res")</f>
        <v>0</v>
      </c>
      <c r="AR33" s="211">
        <f>COUNTIF(D33:AG33,"mA")</f>
        <v>0</v>
      </c>
      <c r="AS33" s="212">
        <f>COUNTIF(D33:AG33,"at")</f>
        <v>0</v>
      </c>
      <c r="AT33" s="213">
        <f>COUNTIF(D33:AG33,"TAD")</f>
        <v>0</v>
      </c>
      <c r="AU33" s="214">
        <f>COUNTIF(D33:AG33,"TP")</f>
        <v>0</v>
      </c>
    </row>
    <row r="34" spans="1:47" s="5" customFormat="1" ht="15" customHeight="1" x14ac:dyDescent="0.25">
      <c r="A34" s="28" t="str">
        <f>IFERROR(IF(config!A34="","",config!A34),"")</f>
        <v>N011045</v>
      </c>
      <c r="B34" s="29" t="str">
        <f>IFERROR(IF(config!B34="","",config!B34),"")</f>
        <v>SIGALA</v>
      </c>
      <c r="C34" s="28" t="str">
        <f>IFERROR(IF(config!C34="","",config!C34),"")</f>
        <v>Jean-Christohpe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215">
        <f>COUNTIF(D34:AG34,"p")</f>
        <v>0</v>
      </c>
      <c r="AJ34" s="215">
        <f>COUNTIF(D34:AH34,"AH")</f>
        <v>0</v>
      </c>
      <c r="AK34" s="216">
        <f>COUNTIF(D34:AG34,"PC")</f>
        <v>0</v>
      </c>
      <c r="AL34" s="217">
        <f>COUNTIF(D34:AG34,"f")</f>
        <v>0</v>
      </c>
      <c r="AM34" s="218">
        <f>COUNTIF(D34:AG34,"ast")</f>
        <v>0</v>
      </c>
      <c r="AN34" s="219">
        <f>COUNTIF(D34:AG34,"cA")</f>
        <v>0</v>
      </c>
      <c r="AO34" s="220">
        <f>COUNTIF(D34:AG34,"rtt")</f>
        <v>0</v>
      </c>
      <c r="AP34" s="221">
        <f>COUNTIF(D34:AG34,"cex")</f>
        <v>0</v>
      </c>
      <c r="AQ34" s="222">
        <f>COUNTIF(D34:AG34,"res")</f>
        <v>0</v>
      </c>
      <c r="AR34" s="223">
        <f>COUNTIF(D34:AG34,"mA")</f>
        <v>0</v>
      </c>
      <c r="AS34" s="224">
        <f>COUNTIF(D34:AG34,"at")</f>
        <v>0</v>
      </c>
      <c r="AT34" s="225">
        <f>COUNTIF(D34:AG34,"TAD")</f>
        <v>0</v>
      </c>
      <c r="AU34" s="226">
        <f>COUNTIF(D34:AG34,"TP")</f>
        <v>0</v>
      </c>
    </row>
    <row r="35" spans="1:47" s="5" customFormat="1" ht="15" customHeight="1" x14ac:dyDescent="0.25">
      <c r="A35" s="147" t="str">
        <f>IFERROR(IF(config!A35="","",config!A35),"")</f>
        <v/>
      </c>
      <c r="B35" s="148" t="str">
        <f>IFERROR(IF(config!B35="","",config!B35),"")</f>
        <v>Responsable d’équipe espaces verts</v>
      </c>
      <c r="C35" s="149" t="str">
        <f>IFERROR(IF(config!C35="","",config!C35),"")</f>
        <v/>
      </c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229"/>
      <c r="AJ35" s="229"/>
      <c r="AK35" s="229"/>
      <c r="AL35" s="229"/>
      <c r="AM35" s="229"/>
      <c r="AN35" s="229"/>
      <c r="AO35" s="229"/>
      <c r="AP35" s="229"/>
      <c r="AQ35" s="229"/>
      <c r="AR35" s="229"/>
      <c r="AS35" s="229"/>
      <c r="AT35" s="229"/>
      <c r="AU35" s="230"/>
    </row>
    <row r="36" spans="1:47" ht="15" customHeight="1" x14ac:dyDescent="0.2">
      <c r="A36" s="30" t="str">
        <f>IFERROR(IF(config!A36="","",config!A36),"")</f>
        <v>N015967</v>
      </c>
      <c r="B36" s="31" t="str">
        <f>IFERROR(IF(config!B36="","",config!B36),"")</f>
        <v>TUCOULET</v>
      </c>
      <c r="C36" s="30" t="str">
        <f>IFERROR(IF(config!C36="","",config!C36),"")</f>
        <v>Dorian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203">
        <f>COUNTIF(D36:AG36,"p")</f>
        <v>0</v>
      </c>
      <c r="AJ36" s="203">
        <f>COUNTIF(D36:AH36,"AH")</f>
        <v>0</v>
      </c>
      <c r="AK36" s="204">
        <f>COUNTIF(D36:AG36,"PC")</f>
        <v>0</v>
      </c>
      <c r="AL36" s="205">
        <f>COUNTIF(D36:AG36,"f")</f>
        <v>0</v>
      </c>
      <c r="AM36" s="206">
        <f>COUNTIF(D36:AG36,"ast")</f>
        <v>0</v>
      </c>
      <c r="AN36" s="207">
        <f>COUNTIF(D36:AG36,"cA")</f>
        <v>0</v>
      </c>
      <c r="AO36" s="208">
        <f>COUNTIF(D36:AG36,"rtt")</f>
        <v>0</v>
      </c>
      <c r="AP36" s="209">
        <f>COUNTIF(D36:AG36,"cex")</f>
        <v>0</v>
      </c>
      <c r="AQ36" s="210">
        <f>COUNTIF(D36:AG36,"res")</f>
        <v>0</v>
      </c>
      <c r="AR36" s="211">
        <f>COUNTIF(D36:AG36,"mA")</f>
        <v>0</v>
      </c>
      <c r="AS36" s="212">
        <f>COUNTIF(D36:AG36,"at")</f>
        <v>0</v>
      </c>
      <c r="AT36" s="213">
        <f>COUNTIF(D36:AG36,"TAD")</f>
        <v>0</v>
      </c>
      <c r="AU36" s="214">
        <f>COUNTIF(D36:AG36,"TP")</f>
        <v>0</v>
      </c>
    </row>
    <row r="37" spans="1:47" ht="15" customHeight="1" x14ac:dyDescent="0.2">
      <c r="A37" s="163" t="str">
        <f>IFERROR(IF(config!A48="","",config!A48),"")</f>
        <v/>
      </c>
      <c r="B37" s="164" t="str">
        <f>IFERROR(IF(config!B48="","",config!B48),"")</f>
        <v>TOTAL ENCADRANTS REGIE</v>
      </c>
      <c r="C37" s="165" t="str">
        <f>IFERROR(IF(config!C48="","",config!C48),"")</f>
        <v/>
      </c>
      <c r="D37" s="238">
        <f t="shared" ref="D37:AH37" si="3">COUNTIF(D31:D36,"p")</f>
        <v>0</v>
      </c>
      <c r="E37" s="238">
        <f t="shared" si="3"/>
        <v>0</v>
      </c>
      <c r="F37" s="238">
        <f t="shared" si="3"/>
        <v>0</v>
      </c>
      <c r="G37" s="238">
        <f t="shared" si="3"/>
        <v>0</v>
      </c>
      <c r="H37" s="238">
        <f t="shared" si="3"/>
        <v>0</v>
      </c>
      <c r="I37" s="238">
        <f t="shared" si="3"/>
        <v>0</v>
      </c>
      <c r="J37" s="238">
        <f t="shared" si="3"/>
        <v>0</v>
      </c>
      <c r="K37" s="238">
        <f t="shared" si="3"/>
        <v>0</v>
      </c>
      <c r="L37" s="238">
        <f t="shared" si="3"/>
        <v>0</v>
      </c>
      <c r="M37" s="238">
        <f t="shared" si="3"/>
        <v>0</v>
      </c>
      <c r="N37" s="238">
        <f t="shared" si="3"/>
        <v>0</v>
      </c>
      <c r="O37" s="238">
        <f t="shared" si="3"/>
        <v>0</v>
      </c>
      <c r="P37" s="238">
        <f t="shared" si="3"/>
        <v>0</v>
      </c>
      <c r="Q37" s="238">
        <f t="shared" si="3"/>
        <v>0</v>
      </c>
      <c r="R37" s="238">
        <f t="shared" si="3"/>
        <v>0</v>
      </c>
      <c r="S37" s="238">
        <f t="shared" si="3"/>
        <v>0</v>
      </c>
      <c r="T37" s="238">
        <f t="shared" si="3"/>
        <v>0</v>
      </c>
      <c r="U37" s="238">
        <f t="shared" si="3"/>
        <v>0</v>
      </c>
      <c r="V37" s="238">
        <f t="shared" si="3"/>
        <v>0</v>
      </c>
      <c r="W37" s="238">
        <f t="shared" si="3"/>
        <v>0</v>
      </c>
      <c r="X37" s="238">
        <f t="shared" si="3"/>
        <v>0</v>
      </c>
      <c r="Y37" s="238">
        <f t="shared" si="3"/>
        <v>0</v>
      </c>
      <c r="Z37" s="238">
        <f t="shared" si="3"/>
        <v>0</v>
      </c>
      <c r="AA37" s="238">
        <f t="shared" si="3"/>
        <v>0</v>
      </c>
      <c r="AB37" s="238">
        <f t="shared" si="3"/>
        <v>0</v>
      </c>
      <c r="AC37" s="238">
        <f t="shared" si="3"/>
        <v>0</v>
      </c>
      <c r="AD37" s="238">
        <f t="shared" si="3"/>
        <v>0</v>
      </c>
      <c r="AE37" s="238">
        <f t="shared" si="3"/>
        <v>0</v>
      </c>
      <c r="AF37" s="238">
        <f t="shared" si="3"/>
        <v>0</v>
      </c>
      <c r="AG37" s="238">
        <f t="shared" si="3"/>
        <v>0</v>
      </c>
      <c r="AH37" s="238">
        <f t="shared" si="3"/>
        <v>0</v>
      </c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</row>
    <row r="38" spans="1:47" s="5" customFormat="1" ht="15" customHeight="1" x14ac:dyDescent="0.25">
      <c r="A38" s="133" t="str">
        <f>IFERROR(IF(config!A37="","",config!A37),"")</f>
        <v/>
      </c>
      <c r="B38" s="134" t="str">
        <f>IFERROR(IF(config!B37="","",config!B37),"")</f>
        <v>CENTRE PROPRETÉ</v>
      </c>
      <c r="C38" s="135" t="str">
        <f>IFERROR(IF(config!C37="","",config!C37),"")</f>
        <v/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8"/>
    </row>
    <row r="39" spans="1:47" s="5" customFormat="1" ht="15" customHeight="1" x14ac:dyDescent="0.25">
      <c r="A39" s="240" t="str">
        <f>IFERROR(IF(config!A38="","",config!A38),"")</f>
        <v/>
      </c>
      <c r="B39" s="138" t="str">
        <f>IFERROR(IF(config!B38="","",config!B38),"")</f>
        <v>Responsable du centre propreté</v>
      </c>
      <c r="C39" s="241" t="str">
        <f>IFERROR(IF(config!C38="","",config!C38),"")</f>
        <v/>
      </c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200"/>
    </row>
    <row r="40" spans="1:47" s="5" customFormat="1" ht="15" customHeight="1" x14ac:dyDescent="0.25">
      <c r="A40" s="250" t="str">
        <f>IFERROR(IF(config!A39="","",config!A39),"")</f>
        <v>JN020502</v>
      </c>
      <c r="B40" s="246" t="str">
        <f>IFERROR(IF(config!B39="","",config!B39),"")</f>
        <v>GOURVIAT</v>
      </c>
      <c r="C40" s="247" t="str">
        <f>IFERROR(IF(config!C39="","",config!C39),"")</f>
        <v>Annabelle</v>
      </c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183">
        <f>COUNTIF(D40:AG40,"p")</f>
        <v>0</v>
      </c>
      <c r="AJ40" s="183">
        <f>COUNTIF(D40:AH40,"AH")</f>
        <v>0</v>
      </c>
      <c r="AK40" s="184">
        <f>COUNTIF(D40:AG40,"PC")</f>
        <v>0</v>
      </c>
      <c r="AL40" s="185">
        <f>COUNTIF(D40:AG40,"f")</f>
        <v>0</v>
      </c>
      <c r="AM40" s="186">
        <f>COUNTIF(D40:AG40,"ast")</f>
        <v>0</v>
      </c>
      <c r="AN40" s="187">
        <f>COUNTIF(D40:AG40,"cA")</f>
        <v>0</v>
      </c>
      <c r="AO40" s="188">
        <f>COUNTIF(D40:AG40,"rtt")</f>
        <v>0</v>
      </c>
      <c r="AP40" s="189">
        <f>COUNTIF(D40:AG40,"cex")</f>
        <v>0</v>
      </c>
      <c r="AQ40" s="190">
        <f>COUNTIF(D40:AG40,"res")</f>
        <v>0</v>
      </c>
      <c r="AR40" s="191">
        <f>COUNTIF(D40:AG40,"mA")</f>
        <v>0</v>
      </c>
      <c r="AS40" s="192">
        <f>COUNTIF(D40:AG40,"at")</f>
        <v>0</v>
      </c>
      <c r="AT40" s="193">
        <f>COUNTIF(D40:AG40,"TAD")</f>
        <v>0</v>
      </c>
      <c r="AU40" s="194">
        <f>COUNTIF(D40:AG40,"TP")</f>
        <v>0</v>
      </c>
    </row>
    <row r="41" spans="1:47" s="5" customFormat="1" ht="15" customHeight="1" x14ac:dyDescent="0.25">
      <c r="A41" s="242" t="str">
        <f>IFERROR(IF(config!A40="","",config!A40),"")</f>
        <v/>
      </c>
      <c r="B41" s="142" t="str">
        <f>IFERROR(IF(config!B40="","",config!B40),"")</f>
        <v>Assistant.e administratif.ive</v>
      </c>
      <c r="C41" s="243" t="str">
        <f>IFERROR(IF(config!C40="","",config!C40),"")</f>
        <v/>
      </c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2"/>
    </row>
    <row r="42" spans="1:47" ht="15" customHeight="1" x14ac:dyDescent="0.2">
      <c r="A42" s="250" t="str">
        <f>IFERROR(IF(config!A41="","",config!A41),"")</f>
        <v>JT032516</v>
      </c>
      <c r="B42" s="246" t="str">
        <f>IFERROR(IF(config!B41="","",config!B41),"")</f>
        <v>LARTIGUE</v>
      </c>
      <c r="C42" s="247" t="str">
        <f>IFERROR(IF(config!C41="","",config!C41),"")</f>
        <v>Laura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183">
        <f>COUNTIF(D42:AG42,"p")</f>
        <v>0</v>
      </c>
      <c r="AJ42" s="183">
        <f>COUNTIF(D42:AH42,"AH")</f>
        <v>0</v>
      </c>
      <c r="AK42" s="184">
        <f>COUNTIF(D42:AG42,"PC")</f>
        <v>0</v>
      </c>
      <c r="AL42" s="185">
        <f>COUNTIF(D42:AG42,"f")</f>
        <v>0</v>
      </c>
      <c r="AM42" s="186">
        <f>COUNTIF(D42:AG42,"ast")</f>
        <v>0</v>
      </c>
      <c r="AN42" s="187">
        <f>COUNTIF(D42:AG42,"cA")</f>
        <v>0</v>
      </c>
      <c r="AO42" s="188">
        <f>COUNTIF(D42:AG42,"rtt")</f>
        <v>0</v>
      </c>
      <c r="AP42" s="189">
        <f>COUNTIF(D42:AG42,"cex")</f>
        <v>0</v>
      </c>
      <c r="AQ42" s="190">
        <f>COUNTIF(D42:AG42,"res")</f>
        <v>0</v>
      </c>
      <c r="AR42" s="191">
        <f>COUNTIF(D42:AG42,"mA")</f>
        <v>0</v>
      </c>
      <c r="AS42" s="192">
        <f>COUNTIF(D42:AG42,"at")</f>
        <v>0</v>
      </c>
      <c r="AT42" s="193">
        <f>COUNTIF(D42:AG42,"TAD")</f>
        <v>0</v>
      </c>
      <c r="AU42" s="194">
        <f>COUNTIF(D42:AG42,"TP")</f>
        <v>0</v>
      </c>
    </row>
    <row r="43" spans="1:47" s="5" customFormat="1" ht="15" customHeight="1" x14ac:dyDescent="0.25">
      <c r="A43" s="242" t="str">
        <f>IFERROR(IF(config!A42="","",config!A42),"")</f>
        <v/>
      </c>
      <c r="B43" s="142" t="str">
        <f>IFERROR(IF(config!B42="","",config!B42),"")</f>
        <v>Responsables d’équipe propreté quartier 1</v>
      </c>
      <c r="C43" s="243" t="str">
        <f>IFERROR(IF(config!C42="","",config!C42),"")</f>
        <v/>
      </c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2"/>
    </row>
    <row r="44" spans="1:47" ht="15" customHeight="1" x14ac:dyDescent="0.2">
      <c r="A44" s="30" t="str">
        <f>IFERROR(IF(config!A43="","",config!A43),"")</f>
        <v>JN010897</v>
      </c>
      <c r="B44" s="31" t="str">
        <f>IFERROR(IF(config!B43="","",config!B43),"")</f>
        <v>TRIQUENEAUX</v>
      </c>
      <c r="C44" s="30" t="str">
        <f>IFERROR(IF(config!C43="","",config!C43),"")</f>
        <v>Benoit</v>
      </c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203">
        <f>COUNTIF(D44:AG44,"p")</f>
        <v>0</v>
      </c>
      <c r="AJ44" s="203">
        <f>COUNTIF(D44:AH44,"AH")</f>
        <v>0</v>
      </c>
      <c r="AK44" s="204">
        <f>COUNTIF(D44:AG44,"PC")</f>
        <v>0</v>
      </c>
      <c r="AL44" s="205">
        <f>COUNTIF(D44:AG44,"f")</f>
        <v>0</v>
      </c>
      <c r="AM44" s="206">
        <f>COUNTIF(D44:AG44,"ast")</f>
        <v>0</v>
      </c>
      <c r="AN44" s="207">
        <f>COUNTIF(D44:AG44,"cA")</f>
        <v>0</v>
      </c>
      <c r="AO44" s="208">
        <f>COUNTIF(D44:AG44,"rtt")</f>
        <v>0</v>
      </c>
      <c r="AP44" s="209">
        <f>COUNTIF(D44:AG44,"cex")</f>
        <v>0</v>
      </c>
      <c r="AQ44" s="210">
        <f>COUNTIF(D44:AG44,"res")</f>
        <v>0</v>
      </c>
      <c r="AR44" s="211">
        <f>COUNTIF(D44:AG44,"mA")</f>
        <v>0</v>
      </c>
      <c r="AS44" s="212">
        <f>COUNTIF(D44:AG44,"at")</f>
        <v>0</v>
      </c>
      <c r="AT44" s="213">
        <f>COUNTIF(D44:AG44,"TAD")</f>
        <v>0</v>
      </c>
      <c r="AU44" s="214">
        <f>COUNTIF(D44:AG44,"TP")</f>
        <v>0</v>
      </c>
    </row>
    <row r="45" spans="1:47" s="5" customFormat="1" ht="15" customHeight="1" x14ac:dyDescent="0.25">
      <c r="A45" s="82" t="str">
        <f>IFERROR(IF(config!A44="","",config!A44),"")</f>
        <v>JN010381</v>
      </c>
      <c r="B45" s="245" t="str">
        <f>IFERROR(IF(config!B44="","",config!B44),"")</f>
        <v>ESPERON</v>
      </c>
      <c r="C45" s="83" t="str">
        <f>IFERROR(IF(config!C44="","",config!C44),"")</f>
        <v>Alain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215">
        <f>COUNTIF(D45:AG45,"p")</f>
        <v>0</v>
      </c>
      <c r="AJ45" s="215">
        <f>COUNTIF(D45:AH45,"AH")</f>
        <v>0</v>
      </c>
      <c r="AK45" s="216">
        <f>COUNTIF(D45:AG45,"PC")</f>
        <v>0</v>
      </c>
      <c r="AL45" s="217">
        <f>COUNTIF(D45:AG45,"f")</f>
        <v>0</v>
      </c>
      <c r="AM45" s="218">
        <f>COUNTIF(D45:AG45,"ast")</f>
        <v>0</v>
      </c>
      <c r="AN45" s="219">
        <f>COUNTIF(D45:AG45,"cA")</f>
        <v>0</v>
      </c>
      <c r="AO45" s="220">
        <f>COUNTIF(D45:AG45,"rtt")</f>
        <v>0</v>
      </c>
      <c r="AP45" s="221">
        <f>COUNTIF(D45:AG45,"cex")</f>
        <v>0</v>
      </c>
      <c r="AQ45" s="222">
        <f>COUNTIF(D45:AG45,"res")</f>
        <v>0</v>
      </c>
      <c r="AR45" s="223">
        <f>COUNTIF(D45:AG45,"mA")</f>
        <v>0</v>
      </c>
      <c r="AS45" s="224">
        <f>COUNTIF(D45:AG45,"at")</f>
        <v>0</v>
      </c>
      <c r="AT45" s="225">
        <f>COUNTIF(D45:AG45,"TAD")</f>
        <v>0</v>
      </c>
      <c r="AU45" s="226">
        <f>COUNTIF(D45:AG45,"TP")</f>
        <v>0</v>
      </c>
    </row>
    <row r="46" spans="1:47" s="5" customFormat="1" ht="15" customHeight="1" x14ac:dyDescent="0.25">
      <c r="A46" s="242" t="str">
        <f>IFERROR(IF(config!A45="","",config!A45),"")</f>
        <v/>
      </c>
      <c r="B46" s="142" t="str">
        <f>IFERROR(IF(config!B45="","",config!B45),"")</f>
        <v>Responsables d’équipe propreté quartier 7</v>
      </c>
      <c r="C46" s="243" t="str">
        <f>IFERROR(IF(config!C45="","",config!C45),"")</f>
        <v/>
      </c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2"/>
    </row>
    <row r="47" spans="1:47" ht="15" customHeight="1" x14ac:dyDescent="0.2">
      <c r="A47" s="30" t="str">
        <f>IFERROR(IF(config!A46="","",config!A46),"")</f>
        <v>JN010750</v>
      </c>
      <c r="B47" s="31" t="str">
        <f>IFERROR(IF(config!B46="","",config!B46),"")</f>
        <v>ROUGLAN</v>
      </c>
      <c r="C47" s="30" t="str">
        <f>IFERROR(IF(config!C46="","",config!C46),"")</f>
        <v>William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203">
        <f>COUNTIF(D47:AG47,"p")</f>
        <v>0</v>
      </c>
      <c r="AJ47" s="203">
        <f>COUNTIF(D47:AH47,"AH")</f>
        <v>0</v>
      </c>
      <c r="AK47" s="204">
        <f>COUNTIF(D47:AG47,"PC")</f>
        <v>0</v>
      </c>
      <c r="AL47" s="205">
        <f>COUNTIF(D47:AG47,"f")</f>
        <v>0</v>
      </c>
      <c r="AM47" s="206">
        <f>COUNTIF(D47:AG47,"ast")</f>
        <v>0</v>
      </c>
      <c r="AN47" s="207">
        <f>COUNTIF(D47:AG47,"cA")</f>
        <v>0</v>
      </c>
      <c r="AO47" s="208">
        <f>COUNTIF(D47:AG47,"rtt")</f>
        <v>0</v>
      </c>
      <c r="AP47" s="209">
        <f>COUNTIF(D47:AG47,"cex")</f>
        <v>0</v>
      </c>
      <c r="AQ47" s="210">
        <f>COUNTIF(D47:AG47,"res")</f>
        <v>0</v>
      </c>
      <c r="AR47" s="211">
        <f>COUNTIF(D47:AG47,"mA")</f>
        <v>0</v>
      </c>
      <c r="AS47" s="212">
        <f>COUNTIF(D47:AG47,"at")</f>
        <v>0</v>
      </c>
      <c r="AT47" s="213">
        <f>COUNTIF(D47:AG47,"TAD")</f>
        <v>0</v>
      </c>
      <c r="AU47" s="214">
        <f>COUNTIF(D47:AG47,"TP")</f>
        <v>0</v>
      </c>
    </row>
    <row r="48" spans="1:47" s="5" customFormat="1" ht="15" customHeight="1" x14ac:dyDescent="0.25">
      <c r="A48" s="249" t="str">
        <f>IFERROR(IF(config!A47="","",config!A47),"")</f>
        <v>JN010461</v>
      </c>
      <c r="B48" s="244" t="str">
        <f>IFERROR(IF(config!B47="","",config!B47),"")</f>
        <v>NOURRI</v>
      </c>
      <c r="C48" s="248" t="str">
        <f>IFERROR(IF(config!C47="","",config!C47),"")</f>
        <v>Danny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215">
        <f>COUNTIF(D48:AG48,"p")</f>
        <v>0</v>
      </c>
      <c r="AJ48" s="215">
        <f>COUNTIF(D48:AH48,"AH")</f>
        <v>0</v>
      </c>
      <c r="AK48" s="216">
        <f>COUNTIF(D48:AG48,"PC")</f>
        <v>0</v>
      </c>
      <c r="AL48" s="217">
        <f>COUNTIF(D48:AG48,"f")</f>
        <v>0</v>
      </c>
      <c r="AM48" s="218">
        <f>COUNTIF(D48:AG48,"ast")</f>
        <v>0</v>
      </c>
      <c r="AN48" s="219">
        <f>COUNTIF(D48:AG48,"cA")</f>
        <v>0</v>
      </c>
      <c r="AO48" s="220">
        <f>COUNTIF(D48:AG48,"rtt")</f>
        <v>0</v>
      </c>
      <c r="AP48" s="221">
        <f>COUNTIF(D48:AG48,"cex")</f>
        <v>0</v>
      </c>
      <c r="AQ48" s="222">
        <f>COUNTIF(D48:AG48,"res")</f>
        <v>0</v>
      </c>
      <c r="AR48" s="223">
        <f>COUNTIF(D48:AG48,"mA")</f>
        <v>0</v>
      </c>
      <c r="AS48" s="224">
        <f>COUNTIF(D48:AG48,"at")</f>
        <v>0</v>
      </c>
      <c r="AT48" s="225">
        <f>COUNTIF(D48:AG48,"TAD")</f>
        <v>0</v>
      </c>
      <c r="AU48" s="226">
        <f>COUNTIF(D48:AG48,"TP")</f>
        <v>0</v>
      </c>
    </row>
    <row r="49" spans="1:47" x14ac:dyDescent="0.2">
      <c r="A49" s="152" t="str">
        <f>IFERROR(IF(config!A49="","",config!A49),"")</f>
        <v/>
      </c>
      <c r="B49" s="153" t="str">
        <f>IFERROR(IF(config!B49="","",config!B49),"")</f>
        <v>Agent.es de voirie</v>
      </c>
      <c r="C49" s="154" t="str">
        <f>IFERROR(IF(config!C49="","",config!C49),"")</f>
        <v/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</row>
    <row r="50" spans="1:47" s="5" customFormat="1" ht="15" customHeight="1" x14ac:dyDescent="0.25">
      <c r="A50" s="22" t="str">
        <f>IFERROR(IF(config!A50="","",config!A50),"")</f>
        <v>JT028103</v>
      </c>
      <c r="B50" s="23" t="str">
        <f>IFERROR(IF(config!B50="","",config!B50),"")</f>
        <v>BERRIO-GAUDNER</v>
      </c>
      <c r="C50" s="22" t="str">
        <f>IFERROR(IF(config!C50="","",config!C50),"")</f>
        <v>Jacques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ref="AI50:AI59" si="4">COUNTIF(D50:AG50,"p")</f>
        <v>0</v>
      </c>
      <c r="AJ50" s="107">
        <f t="shared" ref="AJ50:AJ59" si="5">COUNTIF(D50:AH50,"AH")</f>
        <v>0</v>
      </c>
      <c r="AK50" s="108">
        <f t="shared" ref="AK50:AK59" si="6">COUNTIF(D50:AG50,"PC")</f>
        <v>0</v>
      </c>
      <c r="AL50" s="109">
        <f t="shared" ref="AL50:AL59" si="7">COUNTIF(D50:AG50,"f")</f>
        <v>0</v>
      </c>
      <c r="AM50" s="110">
        <f t="shared" ref="AM50:AM59" si="8">COUNTIF(D50:AG50,"ast")</f>
        <v>0</v>
      </c>
      <c r="AN50" s="111">
        <f t="shared" ref="AN50:AN59" si="9">COUNTIF(D50:AG50,"cA")</f>
        <v>0</v>
      </c>
      <c r="AO50" s="112">
        <f t="shared" ref="AO50:AO59" si="10">COUNTIF(D50:AG50,"rtt")</f>
        <v>0</v>
      </c>
      <c r="AP50" s="113">
        <f t="shared" ref="AP50:AP59" si="11">COUNTIF(D50:AG50,"cex")</f>
        <v>0</v>
      </c>
      <c r="AQ50" s="114">
        <f t="shared" ref="AQ50:AQ59" si="12">COUNTIF(D50:AG50,"res")</f>
        <v>0</v>
      </c>
      <c r="AR50" s="115">
        <f t="shared" ref="AR50:AR59" si="13">COUNTIF(D50:AG50,"mA")</f>
        <v>0</v>
      </c>
      <c r="AS50" s="116">
        <f t="shared" ref="AS50:AS59" si="14">COUNTIF(D50:AG50,"at")</f>
        <v>0</v>
      </c>
      <c r="AT50" s="117">
        <f t="shared" ref="AT50:AT59" si="15">COUNTIF(D50:AG50,"TAD")</f>
        <v>0</v>
      </c>
      <c r="AU50" s="118">
        <f t="shared" ref="AU50:AU59" si="16">COUNTIF(D50:AG50,"TP")</f>
        <v>0</v>
      </c>
    </row>
    <row r="51" spans="1:47" s="5" customFormat="1" ht="15" customHeight="1" x14ac:dyDescent="0.25">
      <c r="A51" s="22" t="str">
        <f>IFERROR(IF(config!A51="","",config!A51),"")</f>
        <v>C002908</v>
      </c>
      <c r="B51" s="23" t="str">
        <f>IFERROR(IF(config!B51="","",config!B51),"")</f>
        <v>FONTENEAU</v>
      </c>
      <c r="C51" s="22" t="str">
        <f>IFERROR(IF(config!C51="","",config!C51),"")</f>
        <v>Fabrice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C004504</v>
      </c>
      <c r="B52" s="23" t="str">
        <f>IFERROR(IF(config!B52="","",config!B52),"")</f>
        <v>GUIJARRO</v>
      </c>
      <c r="C52" s="22" t="str">
        <f>IFERROR(IF(config!C52="","",config!C52),"")</f>
        <v>Juan-Pédro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T028198</v>
      </c>
      <c r="B53" s="23" t="str">
        <f>IFERROR(IF(config!B53="","",config!B53),"")</f>
        <v>GOUREAU</v>
      </c>
      <c r="C53" s="22" t="str">
        <f>IFERROR(IF(config!C53="","",config!C53),"")</f>
        <v>Jonathan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C002986</v>
      </c>
      <c r="B54" s="23" t="str">
        <f>IFERROR(IF(config!B54="","",config!B54),"")</f>
        <v>LABORIE</v>
      </c>
      <c r="C54" s="22" t="str">
        <f>IFERROR(IF(config!C54="","",config!C54),"")</f>
        <v>Jean-Louis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C007317</v>
      </c>
      <c r="B55" s="23" t="str">
        <f>IFERROR(IF(config!B55="","",config!B55),"")</f>
        <v>LARRIEU</v>
      </c>
      <c r="C55" s="22" t="str">
        <f>IFERROR(IF(config!C55="","",config!C55),"")</f>
        <v>Cédric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C004309</v>
      </c>
      <c r="B56" s="23" t="str">
        <f>IFERROR(IF(config!B56="","",config!B56),"")</f>
        <v>LEVIGNAT</v>
      </c>
      <c r="C56" s="22" t="str">
        <f>IFERROR(IF(config!C56="","",config!C56),"")</f>
        <v>Didier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C005624</v>
      </c>
      <c r="B57" s="23" t="str">
        <f>IFERROR(IF(config!B57="","",config!B57),"")</f>
        <v>MARTIN-HERNANDEZ</v>
      </c>
      <c r="C57" s="22" t="str">
        <f>IFERROR(IF(config!C57="","",config!C57),"")</f>
        <v>Pierre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2" t="str">
        <f>IFERROR(IF(config!A58="","",config!A58),"")</f>
        <v>C007758</v>
      </c>
      <c r="B58" s="23" t="str">
        <f>IFERROR(IF(config!B58="","",config!B58),"")</f>
        <v>PIERRE</v>
      </c>
      <c r="C58" s="22" t="str">
        <f>IFERROR(IF(config!C58="","",config!C58),"")</f>
        <v>Frantzy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s="5" customFormat="1" ht="15" customHeight="1" x14ac:dyDescent="0.25">
      <c r="A59" s="28" t="str">
        <f>IFERROR(IF(config!A59="","",config!A59),"")</f>
        <v>T029734</v>
      </c>
      <c r="B59" s="29" t="str">
        <f>IFERROR(IF(config!B59="","",config!B59),"")</f>
        <v>WEISS</v>
      </c>
      <c r="C59" s="28" t="str">
        <f>IFERROR(IF(config!C59="","",config!C59),"")</f>
        <v>Miguel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107">
        <f t="shared" si="4"/>
        <v>0</v>
      </c>
      <c r="AJ59" s="107">
        <f t="shared" si="5"/>
        <v>0</v>
      </c>
      <c r="AK59" s="108">
        <f t="shared" si="6"/>
        <v>0</v>
      </c>
      <c r="AL59" s="109">
        <f t="shared" si="7"/>
        <v>0</v>
      </c>
      <c r="AM59" s="110">
        <f t="shared" si="8"/>
        <v>0</v>
      </c>
      <c r="AN59" s="111">
        <f t="shared" si="9"/>
        <v>0</v>
      </c>
      <c r="AO59" s="112">
        <f t="shared" si="10"/>
        <v>0</v>
      </c>
      <c r="AP59" s="113">
        <f t="shared" si="11"/>
        <v>0</v>
      </c>
      <c r="AQ59" s="114">
        <f t="shared" si="12"/>
        <v>0</v>
      </c>
      <c r="AR59" s="115">
        <f t="shared" si="13"/>
        <v>0</v>
      </c>
      <c r="AS59" s="116">
        <f t="shared" si="14"/>
        <v>0</v>
      </c>
      <c r="AT59" s="117">
        <f t="shared" si="15"/>
        <v>0</v>
      </c>
      <c r="AU59" s="118">
        <f t="shared" si="16"/>
        <v>0</v>
      </c>
    </row>
    <row r="60" spans="1:47" ht="15" customHeight="1" x14ac:dyDescent="0.2">
      <c r="A60" s="32" t="str">
        <f>IFERROR(IF(config!A60="","",config!A60),"")</f>
        <v/>
      </c>
      <c r="B60" s="33" t="str">
        <f>IFERROR(IF(config!B60="","",config!B60),"")</f>
        <v>TOTAL AGENTS VOIRIE</v>
      </c>
      <c r="C60" s="34" t="str">
        <f>IFERROR(IF(config!C60="","",config!C60),"")</f>
        <v/>
      </c>
      <c r="D60" s="35">
        <f t="shared" ref="D60:AH60" si="17">COUNTIF(D50:D59,"p")</f>
        <v>0</v>
      </c>
      <c r="E60" s="35">
        <f t="shared" si="17"/>
        <v>0</v>
      </c>
      <c r="F60" s="35">
        <f t="shared" si="17"/>
        <v>0</v>
      </c>
      <c r="G60" s="35">
        <f t="shared" si="17"/>
        <v>0</v>
      </c>
      <c r="H60" s="35">
        <f t="shared" si="17"/>
        <v>0</v>
      </c>
      <c r="I60" s="35">
        <f t="shared" si="17"/>
        <v>0</v>
      </c>
      <c r="J60" s="35">
        <f t="shared" si="17"/>
        <v>0</v>
      </c>
      <c r="K60" s="35">
        <f t="shared" si="17"/>
        <v>0</v>
      </c>
      <c r="L60" s="35">
        <f t="shared" si="17"/>
        <v>0</v>
      </c>
      <c r="M60" s="35">
        <f t="shared" si="17"/>
        <v>0</v>
      </c>
      <c r="N60" s="35">
        <f t="shared" si="17"/>
        <v>0</v>
      </c>
      <c r="O60" s="35">
        <f t="shared" si="17"/>
        <v>0</v>
      </c>
      <c r="P60" s="35">
        <f t="shared" si="17"/>
        <v>0</v>
      </c>
      <c r="Q60" s="35">
        <f t="shared" si="17"/>
        <v>0</v>
      </c>
      <c r="R60" s="35">
        <f t="shared" si="17"/>
        <v>0</v>
      </c>
      <c r="S60" s="35">
        <f t="shared" si="17"/>
        <v>0</v>
      </c>
      <c r="T60" s="35">
        <f t="shared" si="17"/>
        <v>0</v>
      </c>
      <c r="U60" s="35">
        <f t="shared" si="17"/>
        <v>0</v>
      </c>
      <c r="V60" s="35">
        <f t="shared" si="17"/>
        <v>0</v>
      </c>
      <c r="W60" s="35">
        <f t="shared" si="17"/>
        <v>0</v>
      </c>
      <c r="X60" s="35">
        <f t="shared" si="17"/>
        <v>0</v>
      </c>
      <c r="Y60" s="35">
        <f t="shared" si="17"/>
        <v>0</v>
      </c>
      <c r="Z60" s="35">
        <f t="shared" si="17"/>
        <v>0</v>
      </c>
      <c r="AA60" s="35">
        <f t="shared" si="17"/>
        <v>0</v>
      </c>
      <c r="AB60" s="35">
        <f t="shared" si="17"/>
        <v>0</v>
      </c>
      <c r="AC60" s="35">
        <f t="shared" si="17"/>
        <v>0</v>
      </c>
      <c r="AD60" s="35">
        <f t="shared" si="17"/>
        <v>0</v>
      </c>
      <c r="AE60" s="35">
        <f t="shared" si="17"/>
        <v>0</v>
      </c>
      <c r="AF60" s="35">
        <f t="shared" si="17"/>
        <v>0</v>
      </c>
      <c r="AG60" s="35">
        <f t="shared" si="17"/>
        <v>0</v>
      </c>
      <c r="AH60" s="35">
        <f t="shared" si="17"/>
        <v>0</v>
      </c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3"/>
    </row>
    <row r="61" spans="1:47" x14ac:dyDescent="0.2">
      <c r="A61" s="157" t="str">
        <f>IFERROR(IF(config!A61="","",config!A61),"")</f>
        <v/>
      </c>
      <c r="B61" s="158" t="str">
        <f>IFERROR(IF(config!B61="","",config!B61),"")</f>
        <v>Jardinier.ères</v>
      </c>
      <c r="C61" s="159" t="str">
        <f>IFERROR(IF(config!C61="","",config!C61),"")</f>
        <v/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</row>
    <row r="62" spans="1:47" s="5" customFormat="1" ht="15" customHeight="1" x14ac:dyDescent="0.25">
      <c r="A62" s="22" t="str">
        <f>IFERROR(IF(config!A62="","",config!A62),"")</f>
        <v>N018514</v>
      </c>
      <c r="B62" s="23" t="str">
        <f>IFERROR(IF(config!B62="","",config!B62),"")</f>
        <v>DELANDE</v>
      </c>
      <c r="C62" s="22" t="str">
        <f>IFERROR(IF(config!C62="","",config!C62),"")</f>
        <v>Romain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ref="AI62:AI72" si="18">COUNTIF(D62:AG62,"p")</f>
        <v>0</v>
      </c>
      <c r="AJ62" s="107">
        <f t="shared" ref="AJ62:AJ72" si="19">COUNTIF(D62:AH62,"AH")</f>
        <v>0</v>
      </c>
      <c r="AK62" s="108">
        <f t="shared" ref="AK62:AK72" si="20">COUNTIF(D62:AG62,"PC")</f>
        <v>0</v>
      </c>
      <c r="AL62" s="109">
        <f t="shared" ref="AL62:AL72" si="21">COUNTIF(D62:AG62,"f")</f>
        <v>0</v>
      </c>
      <c r="AM62" s="110">
        <f t="shared" ref="AM62:AM72" si="22">COUNTIF(D62:AG62,"ast")</f>
        <v>0</v>
      </c>
      <c r="AN62" s="111">
        <f t="shared" ref="AN62:AN72" si="23">COUNTIF(D62:AG62,"cA")</f>
        <v>0</v>
      </c>
      <c r="AO62" s="112">
        <f t="shared" ref="AO62:AO72" si="24">COUNTIF(D62:AG62,"rtt")</f>
        <v>0</v>
      </c>
      <c r="AP62" s="113">
        <f t="shared" ref="AP62:AP72" si="25">COUNTIF(D62:AG62,"cex")</f>
        <v>0</v>
      </c>
      <c r="AQ62" s="114">
        <f t="shared" ref="AQ62:AQ72" si="26">COUNTIF(D62:AG62,"res")</f>
        <v>0</v>
      </c>
      <c r="AR62" s="115">
        <f t="shared" ref="AR62:AR72" si="27">COUNTIF(D62:AG62,"mA")</f>
        <v>0</v>
      </c>
      <c r="AS62" s="116">
        <f t="shared" ref="AS62:AS72" si="28">COUNTIF(D62:AG62,"at")</f>
        <v>0</v>
      </c>
      <c r="AT62" s="117">
        <f t="shared" ref="AT62:AT72" si="29">COUNTIF(D62:AG62,"TAD")</f>
        <v>0</v>
      </c>
      <c r="AU62" s="118">
        <f t="shared" ref="AU62:AU72" si="30">COUNTIF(D62:AG62,"TP")</f>
        <v>0</v>
      </c>
    </row>
    <row r="63" spans="1:47" s="5" customFormat="1" ht="15" customHeight="1" x14ac:dyDescent="0.25">
      <c r="A63" s="22" t="str">
        <f>IFERROR(IF(config!A63="","",config!A63),"")</f>
        <v>T029231</v>
      </c>
      <c r="B63" s="23" t="str">
        <f>IFERROR(IF(config!B63="","",config!B63),"")</f>
        <v>DA SILVA REIS</v>
      </c>
      <c r="C63" s="22" t="str">
        <f>IFERROR(IF(config!C63="","",config!C63),"")</f>
        <v>Alexandra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N011181</v>
      </c>
      <c r="B64" s="23" t="str">
        <f>IFERROR(IF(config!B64="","",config!B64),"")</f>
        <v>ELMAGROUD</v>
      </c>
      <c r="C64" s="22" t="str">
        <f>IFERROR(IF(config!C64="","",config!C64),"")</f>
        <v>Sofiane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C004163</v>
      </c>
      <c r="B65" s="23" t="str">
        <f>IFERROR(IF(config!B65="","",config!B65),"")</f>
        <v>ESTEVE</v>
      </c>
      <c r="C65" s="22" t="str">
        <f>IFERROR(IF(config!C65="","",config!C65),"")</f>
        <v>Thierry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C006428</v>
      </c>
      <c r="B66" s="23" t="str">
        <f>IFERROR(IF(config!B66="","",config!B66),"")</f>
        <v>KADRI</v>
      </c>
      <c r="C66" s="22" t="str">
        <f>IFERROR(IF(config!C66="","",config!C66),"")</f>
        <v>Houssine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N023455</v>
      </c>
      <c r="B67" s="23" t="str">
        <f>IFERROR(IF(config!B67="","",config!B67),"")</f>
        <v>MALLET</v>
      </c>
      <c r="C67" s="22" t="str">
        <f>IFERROR(IF(config!C67="","",config!C67),"")</f>
        <v>Ludovic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C007461</v>
      </c>
      <c r="B68" s="23" t="str">
        <f>IFERROR(IF(config!B68="","",config!B68),"")</f>
        <v>MAURY</v>
      </c>
      <c r="C68" s="22" t="str">
        <f>IFERROR(IF(config!C68="","",config!C68),"")</f>
        <v>Xavier</v>
      </c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T030790</v>
      </c>
      <c r="B69" s="23" t="str">
        <f>IFERROR(IF(config!B69="","",config!B69),"")</f>
        <v>MOINGT</v>
      </c>
      <c r="C69" s="22" t="str">
        <f>IFERROR(IF(config!C69="","",config!C69),"")</f>
        <v>Joffrey</v>
      </c>
      <c r="D69" s="7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T030619</v>
      </c>
      <c r="B70" s="23" t="str">
        <f>IFERROR(IF(config!B70="","",config!B70),"")</f>
        <v>REY</v>
      </c>
      <c r="C70" s="22" t="str">
        <f>IFERROR(IF(config!C70="","",config!C70),"")</f>
        <v>Adrien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2" t="str">
        <f>IFERROR(IF(config!A71="","",config!A71),"")</f>
        <v>N019681</v>
      </c>
      <c r="B71" s="23" t="str">
        <f>IFERROR(IF(config!B71="","",config!B71),"")</f>
        <v>TADJROUNA</v>
      </c>
      <c r="C71" s="22" t="str">
        <f>IFERROR(IF(config!C71="","",config!C71),"")</f>
        <v>Mohamed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s="5" customFormat="1" ht="15" customHeight="1" x14ac:dyDescent="0.25">
      <c r="A72" s="28" t="str">
        <f>IFERROR(IF(config!A72="","",config!A72),"")</f>
        <v>N019975</v>
      </c>
      <c r="B72" s="29" t="str">
        <f>IFERROR(IF(config!B72="","",config!B72),"")</f>
        <v>VILLENEUVE</v>
      </c>
      <c r="C72" s="28" t="str">
        <f>IFERROR(IF(config!C72="","",config!C72),"")</f>
        <v>Fabrice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107">
        <f t="shared" si="18"/>
        <v>0</v>
      </c>
      <c r="AJ72" s="107">
        <f t="shared" si="19"/>
        <v>0</v>
      </c>
      <c r="AK72" s="108">
        <f t="shared" si="20"/>
        <v>0</v>
      </c>
      <c r="AL72" s="109">
        <f t="shared" si="21"/>
        <v>0</v>
      </c>
      <c r="AM72" s="110">
        <f t="shared" si="22"/>
        <v>0</v>
      </c>
      <c r="AN72" s="111">
        <f t="shared" si="23"/>
        <v>0</v>
      </c>
      <c r="AO72" s="112">
        <f t="shared" si="24"/>
        <v>0</v>
      </c>
      <c r="AP72" s="113">
        <f t="shared" si="25"/>
        <v>0</v>
      </c>
      <c r="AQ72" s="114">
        <f t="shared" si="26"/>
        <v>0</v>
      </c>
      <c r="AR72" s="115">
        <f t="shared" si="27"/>
        <v>0</v>
      </c>
      <c r="AS72" s="116">
        <f t="shared" si="28"/>
        <v>0</v>
      </c>
      <c r="AT72" s="117">
        <f t="shared" si="29"/>
        <v>0</v>
      </c>
      <c r="AU72" s="118">
        <f t="shared" si="30"/>
        <v>0</v>
      </c>
    </row>
    <row r="73" spans="1:47" ht="15" customHeight="1" x14ac:dyDescent="0.2">
      <c r="A73" s="163" t="str">
        <f>IFERROR(IF(config!A73="","",config!A73),"")</f>
        <v/>
      </c>
      <c r="B73" s="164" t="str">
        <f>IFERROR(IF(config!B73="","",config!B73),"")</f>
        <v>TOTAL AGENTS ESPACES VERTS</v>
      </c>
      <c r="C73" s="165" t="str">
        <f>IFERROR(IF(config!C73="","",config!C73),"")</f>
        <v/>
      </c>
      <c r="D73" s="42">
        <f t="shared" ref="D73:AH73" si="31">COUNTIF(D62:D72,"p")</f>
        <v>0</v>
      </c>
      <c r="E73" s="42">
        <f t="shared" si="31"/>
        <v>0</v>
      </c>
      <c r="F73" s="42">
        <f t="shared" si="31"/>
        <v>0</v>
      </c>
      <c r="G73" s="42">
        <f t="shared" si="31"/>
        <v>0</v>
      </c>
      <c r="H73" s="42">
        <f t="shared" si="31"/>
        <v>0</v>
      </c>
      <c r="I73" s="42">
        <f t="shared" si="31"/>
        <v>0</v>
      </c>
      <c r="J73" s="42">
        <f t="shared" si="31"/>
        <v>0</v>
      </c>
      <c r="K73" s="42">
        <f t="shared" si="31"/>
        <v>0</v>
      </c>
      <c r="L73" s="42">
        <f t="shared" si="31"/>
        <v>0</v>
      </c>
      <c r="M73" s="42">
        <f t="shared" si="31"/>
        <v>0</v>
      </c>
      <c r="N73" s="42">
        <f t="shared" si="31"/>
        <v>0</v>
      </c>
      <c r="O73" s="42">
        <f t="shared" si="31"/>
        <v>0</v>
      </c>
      <c r="P73" s="42">
        <f t="shared" si="31"/>
        <v>0</v>
      </c>
      <c r="Q73" s="42">
        <f t="shared" si="31"/>
        <v>0</v>
      </c>
      <c r="R73" s="42">
        <f t="shared" si="31"/>
        <v>0</v>
      </c>
      <c r="S73" s="42">
        <f t="shared" si="31"/>
        <v>0</v>
      </c>
      <c r="T73" s="42">
        <f t="shared" si="31"/>
        <v>0</v>
      </c>
      <c r="U73" s="42">
        <f t="shared" si="31"/>
        <v>0</v>
      </c>
      <c r="V73" s="42">
        <f t="shared" si="31"/>
        <v>0</v>
      </c>
      <c r="W73" s="42">
        <f t="shared" si="31"/>
        <v>0</v>
      </c>
      <c r="X73" s="42">
        <f t="shared" si="31"/>
        <v>0</v>
      </c>
      <c r="Y73" s="42">
        <f t="shared" si="31"/>
        <v>0</v>
      </c>
      <c r="Z73" s="42">
        <f t="shared" si="31"/>
        <v>0</v>
      </c>
      <c r="AA73" s="42">
        <f t="shared" si="31"/>
        <v>0</v>
      </c>
      <c r="AB73" s="42">
        <f t="shared" si="31"/>
        <v>0</v>
      </c>
      <c r="AC73" s="42">
        <f t="shared" si="31"/>
        <v>0</v>
      </c>
      <c r="AD73" s="42">
        <f t="shared" si="31"/>
        <v>0</v>
      </c>
      <c r="AE73" s="42">
        <f t="shared" si="31"/>
        <v>0</v>
      </c>
      <c r="AF73" s="42">
        <f t="shared" si="31"/>
        <v>0</v>
      </c>
      <c r="AG73" s="42">
        <f t="shared" si="31"/>
        <v>0</v>
      </c>
      <c r="AH73" s="42">
        <f t="shared" si="31"/>
        <v>0</v>
      </c>
      <c r="AI73" s="235"/>
      <c r="AJ73" s="235"/>
      <c r="AK73" s="235"/>
      <c r="AL73" s="235"/>
      <c r="AM73" s="235"/>
      <c r="AN73" s="235"/>
      <c r="AO73" s="235"/>
      <c r="AP73" s="235"/>
      <c r="AQ73" s="235"/>
      <c r="AR73" s="235"/>
      <c r="AS73" s="235"/>
      <c r="AT73" s="235"/>
      <c r="AU73" s="235"/>
    </row>
    <row r="74" spans="1:47" ht="15" customHeight="1" x14ac:dyDescent="0.2">
      <c r="A74" s="32" t="str">
        <f>IFERROR(IF(config!A74="","",config!A74),"")</f>
        <v/>
      </c>
      <c r="B74" s="33" t="str">
        <f>IFERROR(IF(config!B74="","",config!B74),"")</f>
        <v>TOTAL AGENTS UNITE REGIE</v>
      </c>
      <c r="C74" s="34" t="str">
        <f>IFERROR(IF(config!C74="","",config!C74),"")</f>
        <v/>
      </c>
      <c r="D74" s="35">
        <f t="shared" ref="D74:AH74" si="32">COUNTIF(D50:D72,"p")</f>
        <v>0</v>
      </c>
      <c r="E74" s="35">
        <f t="shared" si="32"/>
        <v>0</v>
      </c>
      <c r="F74" s="35">
        <f t="shared" si="32"/>
        <v>0</v>
      </c>
      <c r="G74" s="35">
        <f t="shared" si="32"/>
        <v>0</v>
      </c>
      <c r="H74" s="35">
        <f t="shared" si="32"/>
        <v>0</v>
      </c>
      <c r="I74" s="35">
        <f t="shared" si="32"/>
        <v>0</v>
      </c>
      <c r="J74" s="35">
        <f t="shared" si="32"/>
        <v>0</v>
      </c>
      <c r="K74" s="35">
        <f t="shared" si="32"/>
        <v>0</v>
      </c>
      <c r="L74" s="35">
        <f t="shared" si="32"/>
        <v>0</v>
      </c>
      <c r="M74" s="35">
        <f t="shared" si="32"/>
        <v>0</v>
      </c>
      <c r="N74" s="35">
        <f t="shared" si="32"/>
        <v>0</v>
      </c>
      <c r="O74" s="35">
        <f t="shared" si="32"/>
        <v>0</v>
      </c>
      <c r="P74" s="35">
        <f t="shared" si="32"/>
        <v>0</v>
      </c>
      <c r="Q74" s="35">
        <f t="shared" si="32"/>
        <v>0</v>
      </c>
      <c r="R74" s="35">
        <f t="shared" si="32"/>
        <v>0</v>
      </c>
      <c r="S74" s="35">
        <f t="shared" si="32"/>
        <v>0</v>
      </c>
      <c r="T74" s="35">
        <f t="shared" si="32"/>
        <v>0</v>
      </c>
      <c r="U74" s="35">
        <f t="shared" si="32"/>
        <v>0</v>
      </c>
      <c r="V74" s="35">
        <f t="shared" si="32"/>
        <v>0</v>
      </c>
      <c r="W74" s="35">
        <f t="shared" si="32"/>
        <v>0</v>
      </c>
      <c r="X74" s="35">
        <f t="shared" si="32"/>
        <v>0</v>
      </c>
      <c r="Y74" s="35">
        <f t="shared" si="32"/>
        <v>0</v>
      </c>
      <c r="Z74" s="35">
        <f t="shared" si="32"/>
        <v>0</v>
      </c>
      <c r="AA74" s="35">
        <f t="shared" si="32"/>
        <v>0</v>
      </c>
      <c r="AB74" s="35">
        <f t="shared" si="32"/>
        <v>0</v>
      </c>
      <c r="AC74" s="35">
        <f t="shared" si="32"/>
        <v>0</v>
      </c>
      <c r="AD74" s="35">
        <f t="shared" si="32"/>
        <v>0</v>
      </c>
      <c r="AE74" s="35">
        <f t="shared" si="32"/>
        <v>0</v>
      </c>
      <c r="AF74" s="35">
        <f t="shared" si="32"/>
        <v>0</v>
      </c>
      <c r="AG74" s="35">
        <f t="shared" si="32"/>
        <v>0</v>
      </c>
      <c r="AH74" s="35">
        <f t="shared" si="32"/>
        <v>0</v>
      </c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3"/>
    </row>
    <row r="75" spans="1:47" x14ac:dyDescent="0.2">
      <c r="A75" s="169" t="str">
        <f>IFERROR(IF(config!A75="","",config!A75),"")</f>
        <v/>
      </c>
      <c r="B75" s="170" t="str">
        <f>IFERROR(IF(config!B75="","",config!B75),"")</f>
        <v>Magasinier.ère</v>
      </c>
      <c r="C75" s="171" t="str">
        <f>IFERROR(IF(config!C75="","",config!C75),"")</f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</row>
    <row r="76" spans="1:47" s="5" customFormat="1" ht="15" customHeight="1" x14ac:dyDescent="0.25">
      <c r="A76" s="22" t="str">
        <f>IFERROR(IF(config!A76="","",config!A76),"")</f>
        <v>N010342</v>
      </c>
      <c r="B76" s="23" t="str">
        <f>IFERROR(IF(config!B76="","",config!B76),"")</f>
        <v>VOL</v>
      </c>
      <c r="C76" s="22" t="str">
        <f>IFERROR(IF(config!C76="","",config!C76),"")</f>
        <v>Christophe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s="5" customFormat="1" ht="15" customHeight="1" x14ac:dyDescent="0.25">
      <c r="A77" s="28" t="str">
        <f>IFERROR(IF(config!A77="","",config!A77),"")</f>
        <v>C003865</v>
      </c>
      <c r="B77" s="29" t="str">
        <f>IFERROR(IF(config!B77="","",config!B77),"")</f>
        <v>GENNA</v>
      </c>
      <c r="C77" s="28" t="str">
        <f>IFERROR(IF(config!C77="","",config!C77),"")</f>
        <v>Grégory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107">
        <f>COUNTIF(D77:AG77,"p")</f>
        <v>0</v>
      </c>
      <c r="AJ77" s="107">
        <f>COUNTIF(D77:AH77,"AH")</f>
        <v>0</v>
      </c>
      <c r="AK77" s="108">
        <f>COUNTIF(D77:AG77,"PC")</f>
        <v>0</v>
      </c>
      <c r="AL77" s="109">
        <f>COUNTIF(D77:AG77,"f")</f>
        <v>0</v>
      </c>
      <c r="AM77" s="110">
        <f>COUNTIF(D77:AG77,"ast")</f>
        <v>0</v>
      </c>
      <c r="AN77" s="111">
        <f>COUNTIF(D77:AG77,"cA")</f>
        <v>0</v>
      </c>
      <c r="AO77" s="112">
        <f>COUNTIF(D77:AG77,"rtt")</f>
        <v>0</v>
      </c>
      <c r="AP77" s="113">
        <f>COUNTIF(D77:AG77,"cex")</f>
        <v>0</v>
      </c>
      <c r="AQ77" s="114">
        <f>COUNTIF(D77:AG77,"res")</f>
        <v>0</v>
      </c>
      <c r="AR77" s="115">
        <f>COUNTIF(D77:AG77,"mA")</f>
        <v>0</v>
      </c>
      <c r="AS77" s="116">
        <f>COUNTIF(D77:AG77,"at")</f>
        <v>0</v>
      </c>
      <c r="AT77" s="117">
        <f>COUNTIF(D77:AG77,"TAD")</f>
        <v>0</v>
      </c>
      <c r="AU77" s="118">
        <f>COUNTIF(D77:AG77,"TP")</f>
        <v>0</v>
      </c>
    </row>
    <row r="78" spans="1:47" x14ac:dyDescent="0.2">
      <c r="A78" s="44" t="str">
        <f>IFERROR(IF(config!A78="","",config!A78),"")</f>
        <v/>
      </c>
      <c r="B78" s="45" t="str">
        <f>IFERROR(IF(config!B78="","",config!B78),"")</f>
        <v>Agent.es d’entretien</v>
      </c>
      <c r="C78" s="46" t="str">
        <f>IFERROR(IF(config!C78="","",config!C78),"")</f>
        <v/>
      </c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</row>
    <row r="79" spans="1:47" s="5" customFormat="1" ht="15" customHeight="1" x14ac:dyDescent="0.25">
      <c r="A79" s="47" t="str">
        <f>IFERROR(IF(config!A79="","",config!A79),"")</f>
        <v>N010032</v>
      </c>
      <c r="B79" s="48" t="str">
        <f>IFERROR(IF(config!B79="","",config!B79),"")</f>
        <v>BERNARD</v>
      </c>
      <c r="C79" s="47" t="str">
        <f>IFERROR(IF(config!C79="","",config!C79),"")</f>
        <v>Jean-Louis</v>
      </c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s="5" customFormat="1" ht="15" customHeight="1" x14ac:dyDescent="0.25">
      <c r="A80" s="22" t="str">
        <f>IFERROR(IF(config!A80="","",config!A80),"")</f>
        <v>N010563</v>
      </c>
      <c r="B80" s="23" t="str">
        <f>IFERROR(IF(config!B80="","",config!B80),"")</f>
        <v>HAUBRAICHE</v>
      </c>
      <c r="C80" s="22" t="str">
        <f>IFERROR(IF(config!C80="","",config!C80),"")</f>
        <v>Philippe</v>
      </c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107">
        <f>COUNTIF(D80:AG80,"p")</f>
        <v>0</v>
      </c>
      <c r="AJ80" s="107">
        <f>COUNTIF(D80:AH80,"AH")</f>
        <v>0</v>
      </c>
      <c r="AK80" s="108">
        <f>COUNTIF(D80:AG80,"PC")</f>
        <v>0</v>
      </c>
      <c r="AL80" s="109">
        <f>COUNTIF(D80:AG80,"f")</f>
        <v>0</v>
      </c>
      <c r="AM80" s="110">
        <f>COUNTIF(D80:AG80,"ast")</f>
        <v>0</v>
      </c>
      <c r="AN80" s="111">
        <f>COUNTIF(D80:AG80,"cA")</f>
        <v>0</v>
      </c>
      <c r="AO80" s="112">
        <f>COUNTIF(D80:AG80,"rtt")</f>
        <v>0</v>
      </c>
      <c r="AP80" s="113">
        <f>COUNTIF(D80:AG80,"cex")</f>
        <v>0</v>
      </c>
      <c r="AQ80" s="114">
        <f>COUNTIF(D80:AG80,"res")</f>
        <v>0</v>
      </c>
      <c r="AR80" s="115">
        <f>COUNTIF(D80:AG80,"mA")</f>
        <v>0</v>
      </c>
      <c r="AS80" s="116">
        <f>COUNTIF(D80:AG80,"at")</f>
        <v>0</v>
      </c>
      <c r="AT80" s="117">
        <f>COUNTIF(D80:AG80,"TAD")</f>
        <v>0</v>
      </c>
      <c r="AU80" s="118">
        <f>COUNTIF(D80:AG80,"TP")</f>
        <v>0</v>
      </c>
    </row>
    <row r="82" spans="4:34" ht="15.75" customHeight="1" thickBot="1" x14ac:dyDescent="0.25">
      <c r="D82" s="82" t="s">
        <v>243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W82" s="85" t="s">
        <v>244</v>
      </c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7"/>
    </row>
    <row r="83" spans="4:34" ht="15.75" customHeight="1" thickBot="1" x14ac:dyDescent="0.25">
      <c r="D83" s="88" t="s">
        <v>231</v>
      </c>
      <c r="E83" s="89" t="s">
        <v>232</v>
      </c>
      <c r="F83" s="90" t="s">
        <v>233</v>
      </c>
      <c r="G83" s="91" t="s">
        <v>234</v>
      </c>
      <c r="H83" s="92" t="s">
        <v>235</v>
      </c>
      <c r="I83" s="93" t="s">
        <v>236</v>
      </c>
      <c r="J83" s="94" t="s">
        <v>224</v>
      </c>
      <c r="K83" s="95" t="s">
        <v>237</v>
      </c>
      <c r="L83" s="96" t="s">
        <v>238</v>
      </c>
      <c r="M83" s="97" t="s">
        <v>239</v>
      </c>
      <c r="N83" s="98" t="s">
        <v>240</v>
      </c>
      <c r="O83" s="99" t="s">
        <v>241</v>
      </c>
      <c r="P83" s="100" t="s">
        <v>242</v>
      </c>
      <c r="W83" s="63" t="s">
        <v>231</v>
      </c>
      <c r="X83" s="63" t="s">
        <v>232</v>
      </c>
      <c r="Y83" s="64" t="s">
        <v>233</v>
      </c>
      <c r="Z83" s="65" t="s">
        <v>234</v>
      </c>
      <c r="AA83" s="66" t="s">
        <v>235</v>
      </c>
      <c r="AB83" s="67" t="s">
        <v>236</v>
      </c>
      <c r="AC83" s="68" t="s">
        <v>224</v>
      </c>
      <c r="AD83" s="69" t="s">
        <v>237</v>
      </c>
      <c r="AE83" s="70" t="s">
        <v>238</v>
      </c>
      <c r="AF83" s="71" t="s">
        <v>239</v>
      </c>
      <c r="AG83" s="72" t="s">
        <v>240</v>
      </c>
      <c r="AH83" s="73" t="s">
        <v>242</v>
      </c>
    </row>
    <row r="84" spans="4:34" ht="15" customHeight="1" thickBot="1" x14ac:dyDescent="0.25">
      <c r="D84" s="101">
        <f>COUNTIF(D11:AH36,"p")</f>
        <v>0</v>
      </c>
      <c r="E84" s="102">
        <f>COUNTIF(D11:AH36,"AH")</f>
        <v>0</v>
      </c>
      <c r="F84" s="102">
        <f>COUNTIF(D11:AH36,"PC")</f>
        <v>0</v>
      </c>
      <c r="G84" s="102">
        <f>COUNTIF(D11:AH36,"f")</f>
        <v>0</v>
      </c>
      <c r="H84" s="102">
        <f>COUNTIF(D11:AH36,"ast")</f>
        <v>0</v>
      </c>
      <c r="I84" s="102">
        <f>COUNTIF(D11:AH36,"ca")</f>
        <v>0</v>
      </c>
      <c r="J84" s="102">
        <f>COUNTIF(D11:AH36,"rtt")</f>
        <v>0</v>
      </c>
      <c r="K84" s="102">
        <f>COUNTIF(D11:AH36,"CEX")</f>
        <v>0</v>
      </c>
      <c r="L84" s="102">
        <f>COUNTIF(D11:AH36,"RES")</f>
        <v>0</v>
      </c>
      <c r="M84" s="102">
        <f>COUNTIF(D11:AH36,"MA")</f>
        <v>0</v>
      </c>
      <c r="N84" s="102">
        <f>COUNTIF(D11:AH36,"AT")</f>
        <v>0</v>
      </c>
      <c r="O84" s="102">
        <f>COUNTIF(D11:AH36,"TAD")</f>
        <v>0</v>
      </c>
      <c r="P84" s="103">
        <f>COUNTIF(D11:AH36,"TP")</f>
        <v>0</v>
      </c>
      <c r="W84" s="104">
        <f>COUNTIF(D50:AH59,"p")</f>
        <v>0</v>
      </c>
      <c r="X84" s="105">
        <f>COUNTIF(D50:AH59,"AH")</f>
        <v>0</v>
      </c>
      <c r="Y84" s="105">
        <f>COUNTIF(D50:AH59,"PC")</f>
        <v>0</v>
      </c>
      <c r="Z84" s="105">
        <f>COUNTIF(D50:AH59,"f")</f>
        <v>0</v>
      </c>
      <c r="AA84" s="105">
        <f>COUNTIF(D50:AH59,"ast")</f>
        <v>0</v>
      </c>
      <c r="AB84" s="105">
        <f>COUNTIF(D50:AH59,"ca")</f>
        <v>0</v>
      </c>
      <c r="AC84" s="105">
        <f>COUNTIF(D50:AH59,"rtt")</f>
        <v>0</v>
      </c>
      <c r="AD84" s="105">
        <f>COUNTIF(D50:AH59,"CEX")</f>
        <v>0</v>
      </c>
      <c r="AE84" s="105">
        <f>COUNTIF(D50:AH59,"RES")</f>
        <v>0</v>
      </c>
      <c r="AF84" s="105">
        <f>COUNTIF(D50:AH59,"MA")</f>
        <v>0</v>
      </c>
      <c r="AG84" s="105">
        <f>COUNTIF(D50:AH59,"AT")</f>
        <v>0</v>
      </c>
      <c r="AH84" s="106">
        <f>COUNTIF(D50:AH59,"TP")</f>
        <v>0</v>
      </c>
    </row>
    <row r="104" spans="4:34" ht="15.75" customHeight="1" thickBot="1" x14ac:dyDescent="0.25">
      <c r="D104" s="85" t="s">
        <v>245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/>
      <c r="W104" s="85" t="s">
        <v>246</v>
      </c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7"/>
    </row>
    <row r="105" spans="4:34" ht="15.75" customHeight="1" thickBot="1" x14ac:dyDescent="0.25">
      <c r="D105" s="63" t="s">
        <v>231</v>
      </c>
      <c r="E105" s="63" t="s">
        <v>232</v>
      </c>
      <c r="F105" s="64" t="s">
        <v>233</v>
      </c>
      <c r="G105" s="65" t="s">
        <v>234</v>
      </c>
      <c r="H105" s="66" t="s">
        <v>235</v>
      </c>
      <c r="I105" s="67" t="s">
        <v>236</v>
      </c>
      <c r="J105" s="68" t="s">
        <v>224</v>
      </c>
      <c r="K105" s="69" t="s">
        <v>237</v>
      </c>
      <c r="L105" s="70" t="s">
        <v>238</v>
      </c>
      <c r="M105" s="71" t="s">
        <v>239</v>
      </c>
      <c r="N105" s="72" t="s">
        <v>240</v>
      </c>
      <c r="O105" s="73" t="s">
        <v>242</v>
      </c>
      <c r="W105" s="63" t="s">
        <v>231</v>
      </c>
      <c r="X105" s="63" t="s">
        <v>232</v>
      </c>
      <c r="Y105" s="64" t="s">
        <v>233</v>
      </c>
      <c r="Z105" s="65" t="s">
        <v>234</v>
      </c>
      <c r="AA105" s="66" t="s">
        <v>235</v>
      </c>
      <c r="AB105" s="67" t="s">
        <v>236</v>
      </c>
      <c r="AC105" s="68" t="s">
        <v>224</v>
      </c>
      <c r="AD105" s="69" t="s">
        <v>237</v>
      </c>
      <c r="AE105" s="70" t="s">
        <v>238</v>
      </c>
      <c r="AF105" s="71" t="s">
        <v>239</v>
      </c>
      <c r="AG105" s="72" t="s">
        <v>240</v>
      </c>
      <c r="AH105" s="73" t="s">
        <v>242</v>
      </c>
    </row>
    <row r="106" spans="4:34" ht="15" customHeight="1" thickBot="1" x14ac:dyDescent="0.25">
      <c r="D106" s="104">
        <f>COUNTIF(D62:AH72,"p")</f>
        <v>0</v>
      </c>
      <c r="E106" s="105">
        <f>COUNTIF(D62:AH72,"AH")</f>
        <v>0</v>
      </c>
      <c r="F106" s="105">
        <f>COUNTIF(D62:AH72,"PC")</f>
        <v>0</v>
      </c>
      <c r="G106" s="105">
        <f>COUNTIF(D62:AH72,"f")</f>
        <v>0</v>
      </c>
      <c r="H106" s="105">
        <f>COUNTIF(D62:AH72,"ast")</f>
        <v>0</v>
      </c>
      <c r="I106" s="105">
        <f>COUNTIF(D62:AH72,"ca")</f>
        <v>0</v>
      </c>
      <c r="J106" s="105">
        <f>COUNTIF(D62:AH72,"rtt")</f>
        <v>0</v>
      </c>
      <c r="K106" s="105">
        <f>COUNTIF(D62:AH72,"CEX")</f>
        <v>0</v>
      </c>
      <c r="L106" s="105">
        <f>COUNTIF(D62:AH72,"RES")</f>
        <v>0</v>
      </c>
      <c r="M106" s="105">
        <f>COUNTIF(D62:AH72,"MA")</f>
        <v>0</v>
      </c>
      <c r="N106" s="105">
        <f>COUNTIF(D62:AH72,"AT")</f>
        <v>0</v>
      </c>
      <c r="O106" s="106">
        <f>COUNTIF(D62:AH72,"TP")</f>
        <v>0</v>
      </c>
      <c r="W106" s="104">
        <f>COUNTIF(D76:AH80,"p")</f>
        <v>0</v>
      </c>
      <c r="X106" s="105">
        <f>COUNTIF(D76:AH80,"AH")</f>
        <v>0</v>
      </c>
      <c r="Y106" s="105">
        <f>COUNTIF(D76:AH80,"PC")</f>
        <v>0</v>
      </c>
      <c r="Z106" s="105">
        <f>COUNTIF(D76:AH80,"f")</f>
        <v>0</v>
      </c>
      <c r="AA106" s="105">
        <f>COUNTIF(D76:AH80,"ast")</f>
        <v>0</v>
      </c>
      <c r="AB106" s="105">
        <f>COUNTIF(D76:AH80,"ca")</f>
        <v>0</v>
      </c>
      <c r="AC106" s="105">
        <f>COUNTIF(D76:AH80,"rtt")</f>
        <v>0</v>
      </c>
      <c r="AD106" s="105">
        <f>COUNTIF(D76:AH80,"CEX")</f>
        <v>0</v>
      </c>
      <c r="AE106" s="105">
        <f>COUNTIF(D76:AH80,"RES")</f>
        <v>0</v>
      </c>
      <c r="AF106" s="105">
        <f>COUNTIF(D76:AH80,"MA")</f>
        <v>0</v>
      </c>
      <c r="AG106" s="105">
        <f>COUNTIF(D76:AH80,"AT")</f>
        <v>0</v>
      </c>
      <c r="AH106" s="106">
        <f>COUNTIF(D76:AH80,"TP")</f>
        <v>0</v>
      </c>
    </row>
  </sheetData>
  <mergeCells count="14">
    <mergeCell ref="AM5:AM9"/>
    <mergeCell ref="D5:AH7"/>
    <mergeCell ref="AI5:AI9"/>
    <mergeCell ref="AJ5:AJ9"/>
    <mergeCell ref="AK5:AK9"/>
    <mergeCell ref="AL5:AL9"/>
    <mergeCell ref="AT5:AT9"/>
    <mergeCell ref="AU5:AU9"/>
    <mergeCell ref="AN5:AN9"/>
    <mergeCell ref="AO5:AO9"/>
    <mergeCell ref="AP5:AP9"/>
    <mergeCell ref="AQ5:AQ9"/>
    <mergeCell ref="AR5:AR9"/>
    <mergeCell ref="AS5:AS9"/>
  </mergeCells>
  <conditionalFormatting sqref="D12:AH12 D14:AH14 D17:AH17 D19:AH19 D21:AH21 D23:AH24 D26:AH29 D31:AH31 D33:AH34 D36:AH48 D50:AH59 D62:AH72 D76:AH77 D79:AH80">
    <cfRule type="containsText" dxfId="56" priority="3" operator="containsText" text="AH">
      <formula>NOT(ISERROR(SEARCH("AH",D12)))</formula>
    </cfRule>
    <cfRule type="containsText" dxfId="55" priority="4" operator="containsText" text="TP">
      <formula>NOT(ISERROR(SEARCH("TP",D12)))</formula>
    </cfRule>
    <cfRule type="containsText" dxfId="54" priority="5" operator="containsText" text="TAD">
      <formula>NOT(ISERROR(SEARCH("TAD",D12)))</formula>
    </cfRule>
    <cfRule type="containsText" dxfId="53" priority="6" operator="containsText" text="AT">
      <formula>NOT(ISERROR(SEARCH("AT",D12)))</formula>
    </cfRule>
    <cfRule type="containsText" dxfId="52" priority="7" operator="containsText" text="MA">
      <formula>NOT(ISERROR(SEARCH("MA",D12)))</formula>
    </cfRule>
    <cfRule type="containsText" dxfId="51" priority="8" operator="containsText" text="RES">
      <formula>NOT(ISERROR(SEARCH("RES",D12)))</formula>
    </cfRule>
    <cfRule type="containsText" dxfId="50" priority="9" operator="containsText" text="CEX">
      <formula>NOT(ISERROR(SEARCH("CEX",D12)))</formula>
    </cfRule>
    <cfRule type="containsText" dxfId="49" priority="10" operator="containsText" text="RTT">
      <formula>NOT(ISERROR(SEARCH("RTT",D12)))</formula>
    </cfRule>
    <cfRule type="beginsWith" dxfId="48" priority="11" operator="beginsWith" text="CA">
      <formula>LEFT(D12,LEN("CA"))="CA"</formula>
    </cfRule>
    <cfRule type="containsText" dxfId="47" priority="12" operator="containsText" text="AST">
      <formula>NOT(ISERROR(SEARCH("AST",D12)))</formula>
    </cfRule>
    <cfRule type="containsText" dxfId="46" priority="13" operator="containsText" text="F">
      <formula>NOT(ISERROR(SEARCH("F",D12)))</formula>
    </cfRule>
    <cfRule type="containsText" dxfId="45" priority="14" operator="containsText" text="PC">
      <formula>NOT(ISERROR(SEARCH("PC",D12)))</formula>
    </cfRule>
    <cfRule type="containsText" dxfId="44" priority="15" operator="containsText" text="P">
      <formula>NOT(ISERROR(SEARCH("P",D12)))</formula>
    </cfRule>
  </conditionalFormatting>
  <conditionalFormatting sqref="D9:AH10 D12:AH12 D14:AH14 D17:AH17 D19:AH19 D21:AH21 D23:AH24 D26:AH29 D31:AH31 D33:AH34 D36:AH37 D40:AH40 D42:AH42 D44:AH45 D47:AH48 D50:AH60 D62:AH74 D76:AH77 D79:AH80">
    <cfRule type="expression" dxfId="4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42" priority="2">
      <formula>OR(D$9=1,D$9=7)</formula>
    </cfRule>
  </conditionalFormatting>
  <dataValidations count="1">
    <dataValidation type="list" showInputMessage="1" showErrorMessage="1" sqref="D12:AH12 D14:AH14 D17:AH19 D21:AH21 D23:AH24 D26:AH29 D31:AH31 D33:AH34 D36:AH48 D50:AH59 D62:AH72 D76:AH77 D79:AH80" xr:uid="{3BB3349E-D435-4772-9AAF-15CDAEB53C5A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F3B3DF8F52D746BFF13FB3784F436F" ma:contentTypeVersion="18" ma:contentTypeDescription="Crée un document." ma:contentTypeScope="" ma:versionID="aae79400e2903a89e587f524e68eb198">
  <xsd:schema xmlns:xsd="http://www.w3.org/2001/XMLSchema" xmlns:xs="http://www.w3.org/2001/XMLSchema" xmlns:p="http://schemas.microsoft.com/office/2006/metadata/properties" xmlns:ns2="b9fa0d2e-dc88-47cc-ac81-cd83a670aa4d" xmlns:ns3="46e35d2f-1320-4626-a7e4-c6772f9eed0d" targetNamespace="http://schemas.microsoft.com/office/2006/metadata/properties" ma:root="true" ma:fieldsID="82e6d5a9b066010c7c27f20dd5dca75a" ns2:_="" ns3:_="">
    <xsd:import namespace="b9fa0d2e-dc88-47cc-ac81-cd83a670aa4d"/>
    <xsd:import namespace="46e35d2f-1320-4626-a7e4-c6772f9eed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PJ" minOccurs="0"/>
                <xsd:element ref="ns2:MediaServiceBillingMetadata" minOccurs="0"/>
                <xsd:element ref="ns2:contact" minOccurs="0"/>
                <xsd:element ref="ns2:R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fa0d2e-dc88-47cc-ac81-cd83a670aa4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db167985-3631-4ec7-acf1-124f178307d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PJ" ma:index="21" nillable="true" ma:displayName="PJ" ma:format="Thumbnail" ma:internalName="PJ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  <xsd:element name="contact" ma:index="23" nillable="true" ma:displayName="contact" ma:description="h.morin@bordeaux-metropole.fr" ma:format="Dropdown" ma:internalName="contact">
      <xsd:simpleType>
        <xsd:restriction base="dms:Text">
          <xsd:maxLength value="255"/>
        </xsd:restriction>
      </xsd:simpleType>
    </xsd:element>
    <xsd:element name="RTE" ma:index="24" nillable="true" ma:displayName="RTE" ma:format="Dropdown" ma:internalName="RT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e35d2f-1320-4626-a7e4-c6772f9eed0d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70ada956-f79e-4698-860d-74ea8cdf238c}" ma:internalName="TaxCatchAll" ma:showField="CatchAllData" ma:web="46e35d2f-1320-4626-a7e4-c6772f9eed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ntact xmlns="b9fa0d2e-dc88-47cc-ac81-cd83a670aa4d" xsi:nil="true"/>
    <PJ xmlns="b9fa0d2e-dc88-47cc-ac81-cd83a670aa4d" xsi:nil="true"/>
    <RTE xmlns="b9fa0d2e-dc88-47cc-ac81-cd83a670aa4d" xsi:nil="true"/>
    <lcf76f155ced4ddcb4097134ff3c332f xmlns="b9fa0d2e-dc88-47cc-ac81-cd83a670aa4d">
      <Terms xmlns="http://schemas.microsoft.com/office/infopath/2007/PartnerControls"/>
    </lcf76f155ced4ddcb4097134ff3c332f>
    <TaxCatchAll xmlns="46e35d2f-1320-4626-a7e4-c6772f9eed0d" xsi:nil="true"/>
  </documentManagement>
</p:properties>
</file>

<file path=customXml/itemProps1.xml><?xml version="1.0" encoding="utf-8"?>
<ds:datastoreItem xmlns:ds="http://schemas.openxmlformats.org/officeDocument/2006/customXml" ds:itemID="{4ADA4204-6BEF-4F3F-A94C-C2ADB3C716B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80597B-B847-412F-9325-4379F56474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fa0d2e-dc88-47cc-ac81-cd83a670aa4d"/>
    <ds:schemaRef ds:uri="46e35d2f-1320-4626-a7e4-c6772f9eed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BCBDFB-2BD9-42C8-919D-BAE39C74673D}">
  <ds:schemaRefs>
    <ds:schemaRef ds:uri="http://schemas.microsoft.com/office/2006/metadata/properties"/>
    <ds:schemaRef ds:uri="http://schemas.microsoft.com/office/infopath/2007/PartnerControls"/>
    <ds:schemaRef ds:uri="b9fa0d2e-dc88-47cc-ac81-cd83a670aa4d"/>
    <ds:schemaRef ds:uri="46e35d2f-1320-4626-a7e4-c6772f9eed0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1</vt:i4>
      </vt:variant>
    </vt:vector>
  </HeadingPairs>
  <TitlesOfParts>
    <vt:vector size="19" baseType="lpstr">
      <vt:lpstr>Menu</vt:lpstr>
      <vt:lpstr>config</vt:lpstr>
      <vt:lpstr>Feuil1</vt:lpstr>
      <vt:lpstr>Exemple_mois</vt:lpstr>
      <vt:lpstr>Décembre 2025</vt:lpstr>
      <vt:lpstr>Janvier 2026</vt:lpstr>
      <vt:lpstr>Février 2026</vt:lpstr>
      <vt:lpstr>Mars 2026</vt:lpstr>
      <vt:lpstr>Avril 2026</vt:lpstr>
      <vt:lpstr>Mai 2026</vt:lpstr>
      <vt:lpstr>Juin 2026</vt:lpstr>
      <vt:lpstr>Juillet 2026</vt:lpstr>
      <vt:lpstr>Août 2026</vt:lpstr>
      <vt:lpstr>Septembre 2026</vt:lpstr>
      <vt:lpstr>Octobre 2026</vt:lpstr>
      <vt:lpstr>Novembre 2026</vt:lpstr>
      <vt:lpstr>Décembre 2026</vt:lpstr>
      <vt:lpstr>Janvier 2027</vt:lpstr>
      <vt:lpstr>Annee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Gonçalves</dc:creator>
  <cp:keywords/>
  <dc:description/>
  <cp:lastModifiedBy>Gonçalves</cp:lastModifiedBy>
  <cp:revision/>
  <dcterms:created xsi:type="dcterms:W3CDTF">2025-12-20T13:30:33Z</dcterms:created>
  <dcterms:modified xsi:type="dcterms:W3CDTF">2026-01-10T00:54:47Z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0x0101004AF3B3DF8F52D746BFF13FB3784F436F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