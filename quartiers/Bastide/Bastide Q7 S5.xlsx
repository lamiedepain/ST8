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"/>
    </mc:Choice>
  </mc:AlternateContent>
  <xr:revisionPtr revIDLastSave="0" documentId="13_ncr:1_{4C90E509-8CEB-4086-9C0C-D1FFABB55FF0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calcu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1" l="1"/>
</calcChain>
</file>

<file path=xl/sharedStrings.xml><?xml version="1.0" encoding="utf-8"?>
<sst xmlns="http://schemas.openxmlformats.org/spreadsheetml/2006/main" count="262" uniqueCount="115">
  <si>
    <t>gid</t>
  </si>
  <si>
    <t>geom_err</t>
  </si>
  <si>
    <t>ident</t>
  </si>
  <si>
    <t>domanial</t>
  </si>
  <si>
    <t>groupe</t>
  </si>
  <si>
    <t>cat_dig</t>
  </si>
  <si>
    <t>cat_rhv</t>
  </si>
  <si>
    <t>passage</t>
  </si>
  <si>
    <t>nom_voie</t>
  </si>
  <si>
    <t>voiegrandtr</t>
  </si>
  <si>
    <t>rg_fv_graph</t>
  </si>
  <si>
    <t>rg_fv_graph_1</t>
  </si>
  <si>
    <t>rg_fv_graph_2</t>
  </si>
  <si>
    <t>cdate</t>
  </si>
  <si>
    <t>mdate</t>
  </si>
  <si>
    <t>longueur_m</t>
  </si>
  <si>
    <t>9310362</t>
  </si>
  <si>
    <t>61550</t>
  </si>
  <si>
    <t>4</t>
  </si>
  <si>
    <t>1</t>
  </si>
  <si>
    <t>5</t>
  </si>
  <si>
    <t>Chemin Pouyanne</t>
  </si>
  <si>
    <t>False</t>
  </si>
  <si>
    <t>20998</t>
  </si>
  <si>
    <t>1995-01-25 00:00:00+01:00</t>
  </si>
  <si>
    <t>2024-09-24 00:00:00+02:00</t>
  </si>
  <si>
    <t>9310884</t>
  </si>
  <si>
    <t>72184</t>
  </si>
  <si>
    <t>64</t>
  </si>
  <si>
    <t>Ruelle Dupas-Pelletan</t>
  </si>
  <si>
    <t>2024-09-04 00:00:00+02:00</t>
  </si>
  <si>
    <t>9310048</t>
  </si>
  <si>
    <t>28829</t>
  </si>
  <si>
    <t>3</t>
  </si>
  <si>
    <t>Rue Jean Dupas</t>
  </si>
  <si>
    <t>1624</t>
  </si>
  <si>
    <t>1996-02-13 00:00:00+01:00</t>
  </si>
  <si>
    <t>9300017</t>
  </si>
  <si>
    <t>9426</t>
  </si>
  <si>
    <t>Rue Marcel Sembat</t>
  </si>
  <si>
    <t>28921</t>
  </si>
  <si>
    <t>8487</t>
  </si>
  <si>
    <t>2018-03-08 00:00:00+01:00</t>
  </si>
  <si>
    <t>9302396</t>
  </si>
  <si>
    <t>11093</t>
  </si>
  <si>
    <t>Cité de la Touratte</t>
  </si>
  <si>
    <t>14212</t>
  </si>
  <si>
    <t>8893</t>
  </si>
  <si>
    <t>2012-06-22 00:00:00+02:00</t>
  </si>
  <si>
    <t>9298169</t>
  </si>
  <si>
    <t>8104</t>
  </si>
  <si>
    <t>Rue Franc Sanson</t>
  </si>
  <si>
    <t>12782</t>
  </si>
  <si>
    <t>4260</t>
  </si>
  <si>
    <t>9310147</t>
  </si>
  <si>
    <t>62162</t>
  </si>
  <si>
    <t>Impasse Louis Ellias</t>
  </si>
  <si>
    <t>2734</t>
  </si>
  <si>
    <t>12305</t>
  </si>
  <si>
    <t>9303606</t>
  </si>
  <si>
    <t>39302</t>
  </si>
  <si>
    <t>Rue Emile Henriot</t>
  </si>
  <si>
    <t>17453</t>
  </si>
  <si>
    <t>24653</t>
  </si>
  <si>
    <t>2004-11-15 00:00:00+01:00</t>
  </si>
  <si>
    <t>2014-09-12 00:00:00+02:00</t>
  </si>
  <si>
    <t>9303604</t>
  </si>
  <si>
    <t>71254</t>
  </si>
  <si>
    <t>Rue d'Artagnan</t>
  </si>
  <si>
    <t>2107</t>
  </si>
  <si>
    <t>2004-07-30 00:00:00+02:00</t>
  </si>
  <si>
    <t>2025-07-03 00:00:00+02:00</t>
  </si>
  <si>
    <t>9310895</t>
  </si>
  <si>
    <t>72420</t>
  </si>
  <si>
    <t>Allée Camille Muffat</t>
  </si>
  <si>
    <t>9309925</t>
  </si>
  <si>
    <t>20086</t>
  </si>
  <si>
    <t>Rue Emile Combes</t>
  </si>
  <si>
    <t>22551</t>
  </si>
  <si>
    <t>1995-01-26 00:00:00+01:00</t>
  </si>
  <si>
    <t>9310626</t>
  </si>
  <si>
    <t>3617</t>
  </si>
  <si>
    <t>Rue Jean Monnet</t>
  </si>
  <si>
    <t>3083</t>
  </si>
  <si>
    <t>1257</t>
  </si>
  <si>
    <t>9310383</t>
  </si>
  <si>
    <t>43702</t>
  </si>
  <si>
    <t>Chemin Richelieu</t>
  </si>
  <si>
    <t>9298515</t>
  </si>
  <si>
    <t>8359</t>
  </si>
  <si>
    <t>Rue Giacomo Matteotti</t>
  </si>
  <si>
    <t>10377</t>
  </si>
  <si>
    <t>9301218</t>
  </si>
  <si>
    <t>22484</t>
  </si>
  <si>
    <t>Impasse de la Preceinte</t>
  </si>
  <si>
    <t>4038</t>
  </si>
  <si>
    <t>9310738</t>
  </si>
  <si>
    <t>27286</t>
  </si>
  <si>
    <t>Avenue du 11 Novembre 1918</t>
  </si>
  <si>
    <t>12070</t>
  </si>
  <si>
    <t>1998-11-25 00:00:00+01:00</t>
  </si>
  <si>
    <t>9298972</t>
  </si>
  <si>
    <t>8697</t>
  </si>
  <si>
    <t>Impasse Jeanne Lafond</t>
  </si>
  <si>
    <t>26223</t>
  </si>
  <si>
    <t>9310892</t>
  </si>
  <si>
    <t>72423</t>
  </si>
  <si>
    <t>Rue Florence Arthaud</t>
  </si>
  <si>
    <t>9310897</t>
  </si>
  <si>
    <t>72421</t>
  </si>
  <si>
    <t>9</t>
  </si>
  <si>
    <t>Rue Françoise Dolto</t>
  </si>
  <si>
    <t>9309830</t>
  </si>
  <si>
    <t>3227</t>
  </si>
  <si>
    <t>Avenue Camille Pelletan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</si>
</sst>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&quot; m&quot;"/>
    <numFmt numFmtId="169" formatCode="#,##0&quot; m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>
      <selection activeCell="P22" sqref="P22"/>
    </sheetView>
  </sheetViews>
  <sheetFormatPr baseColWidth="10" defaultRowHeight="15" x14ac:dyDescent="0.2"/>
  <cols>
    <col min="1" max="1024" width="15"/>
  </cols>
  <sheetData>
    <row r="1" spans="1:16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 x14ac:dyDescent="0.2">
      <c r="A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I2" t="s">
        <v>21</v>
      </c>
      <c r="J2" t="s">
        <v>22</v>
      </c>
      <c r="K2" t="s">
        <v>23</v>
      </c>
      <c r="M2" t="s">
        <v>19</v>
      </c>
      <c r="N2" t="s">
        <v>24</v>
      </c>
      <c r="O2" t="s">
        <v>25</v>
      </c>
      <c r="P2" s="1">
        <v>175.0442608175731</v>
      </c>
    </row>
    <row r="3" spans="1:16" ht="12.75" x14ac:dyDescent="0.2">
      <c r="A3" t="s">
        <v>26</v>
      </c>
      <c r="C3" t="s">
        <v>27</v>
      </c>
      <c r="D3" t="s">
        <v>18</v>
      </c>
      <c r="E3" t="s">
        <v>19</v>
      </c>
      <c r="F3" t="s">
        <v>20</v>
      </c>
      <c r="G3" t="s">
        <v>28</v>
      </c>
      <c r="I3" t="s">
        <v>29</v>
      </c>
      <c r="J3" t="s">
        <v>22</v>
      </c>
      <c r="M3" t="s">
        <v>19</v>
      </c>
      <c r="N3" t="s">
        <v>30</v>
      </c>
      <c r="O3" t="s">
        <v>30</v>
      </c>
      <c r="P3" s="1">
        <v>80.646021992425744</v>
      </c>
    </row>
    <row r="4" spans="1:16" ht="12.75" x14ac:dyDescent="0.2">
      <c r="A4" t="s">
        <v>31</v>
      </c>
      <c r="C4" t="s">
        <v>32</v>
      </c>
      <c r="D4" t="s">
        <v>18</v>
      </c>
      <c r="E4" t="s">
        <v>19</v>
      </c>
      <c r="F4" t="s">
        <v>20</v>
      </c>
      <c r="G4" t="s">
        <v>33</v>
      </c>
      <c r="I4" t="s">
        <v>34</v>
      </c>
      <c r="J4" t="s">
        <v>22</v>
      </c>
      <c r="K4" t="s">
        <v>35</v>
      </c>
      <c r="M4" t="s">
        <v>19</v>
      </c>
      <c r="N4" t="s">
        <v>36</v>
      </c>
      <c r="O4" t="s">
        <v>30</v>
      </c>
      <c r="P4" s="1">
        <v>504.7929934305696</v>
      </c>
    </row>
    <row r="5" spans="1:16" ht="12.75" x14ac:dyDescent="0.2">
      <c r="A5" t="s">
        <v>37</v>
      </c>
      <c r="C5" t="s">
        <v>38</v>
      </c>
      <c r="D5" t="s">
        <v>18</v>
      </c>
      <c r="E5" t="s">
        <v>19</v>
      </c>
      <c r="F5" t="s">
        <v>18</v>
      </c>
      <c r="G5" t="s">
        <v>33</v>
      </c>
      <c r="I5" t="s">
        <v>39</v>
      </c>
      <c r="J5" t="s">
        <v>22</v>
      </c>
      <c r="K5" t="s">
        <v>40</v>
      </c>
      <c r="L5" t="s">
        <v>41</v>
      </c>
      <c r="M5" t="s">
        <v>19</v>
      </c>
      <c r="N5" t="s">
        <v>24</v>
      </c>
      <c r="O5" t="s">
        <v>42</v>
      </c>
      <c r="P5" s="1">
        <v>284.12895878934461</v>
      </c>
    </row>
    <row r="6" spans="1:16" ht="12.75" x14ac:dyDescent="0.2">
      <c r="A6" t="s">
        <v>43</v>
      </c>
      <c r="C6" t="s">
        <v>44</v>
      </c>
      <c r="D6" t="s">
        <v>18</v>
      </c>
      <c r="E6" t="s">
        <v>19</v>
      </c>
      <c r="F6" t="s">
        <v>20</v>
      </c>
      <c r="G6" t="s">
        <v>18</v>
      </c>
      <c r="I6" t="s">
        <v>45</v>
      </c>
      <c r="J6" t="s">
        <v>22</v>
      </c>
      <c r="K6" t="s">
        <v>46</v>
      </c>
      <c r="L6" t="s">
        <v>47</v>
      </c>
      <c r="M6" t="s">
        <v>19</v>
      </c>
      <c r="N6" t="s">
        <v>24</v>
      </c>
      <c r="O6" t="s">
        <v>48</v>
      </c>
      <c r="P6" s="1">
        <v>117.4209329542055</v>
      </c>
    </row>
    <row r="7" spans="1:16" ht="12.75" x14ac:dyDescent="0.2">
      <c r="A7" t="s">
        <v>49</v>
      </c>
      <c r="C7" t="s">
        <v>50</v>
      </c>
      <c r="D7" t="s">
        <v>18</v>
      </c>
      <c r="E7" t="s">
        <v>19</v>
      </c>
      <c r="F7" t="s">
        <v>20</v>
      </c>
      <c r="G7" t="s">
        <v>18</v>
      </c>
      <c r="I7" t="s">
        <v>51</v>
      </c>
      <c r="J7" t="s">
        <v>22</v>
      </c>
      <c r="K7" t="s">
        <v>52</v>
      </c>
      <c r="L7" t="s">
        <v>53</v>
      </c>
      <c r="M7" t="s">
        <v>19</v>
      </c>
      <c r="N7" t="s">
        <v>24</v>
      </c>
      <c r="O7" t="s">
        <v>48</v>
      </c>
      <c r="P7" s="1">
        <v>289.53435621637311</v>
      </c>
    </row>
    <row r="8" spans="1:16" ht="12.75" x14ac:dyDescent="0.2">
      <c r="A8" t="s">
        <v>54</v>
      </c>
      <c r="C8" t="s">
        <v>55</v>
      </c>
      <c r="D8" t="s">
        <v>18</v>
      </c>
      <c r="E8" t="s">
        <v>19</v>
      </c>
      <c r="F8" t="s">
        <v>20</v>
      </c>
      <c r="G8" t="s">
        <v>18</v>
      </c>
      <c r="I8" t="s">
        <v>56</v>
      </c>
      <c r="J8" t="s">
        <v>22</v>
      </c>
      <c r="K8" t="s">
        <v>57</v>
      </c>
      <c r="L8" t="s">
        <v>58</v>
      </c>
      <c r="M8" t="s">
        <v>19</v>
      </c>
      <c r="N8" t="s">
        <v>24</v>
      </c>
      <c r="O8" t="s">
        <v>48</v>
      </c>
      <c r="P8" s="1">
        <v>142.6406689250432</v>
      </c>
    </row>
    <row r="9" spans="1:16" ht="12.75" x14ac:dyDescent="0.2">
      <c r="A9" t="s">
        <v>59</v>
      </c>
      <c r="C9" t="s">
        <v>60</v>
      </c>
      <c r="D9" t="s">
        <v>18</v>
      </c>
      <c r="E9" t="s">
        <v>19</v>
      </c>
      <c r="F9" t="s">
        <v>20</v>
      </c>
      <c r="G9" t="s">
        <v>28</v>
      </c>
      <c r="I9" t="s">
        <v>61</v>
      </c>
      <c r="J9" t="s">
        <v>22</v>
      </c>
      <c r="K9" t="s">
        <v>62</v>
      </c>
      <c r="L9" t="s">
        <v>63</v>
      </c>
      <c r="M9" t="s">
        <v>19</v>
      </c>
      <c r="N9" t="s">
        <v>64</v>
      </c>
      <c r="O9" t="s">
        <v>65</v>
      </c>
      <c r="P9" s="1">
        <v>231.15963571434969</v>
      </c>
    </row>
    <row r="10" spans="1:16" ht="12.75" x14ac:dyDescent="0.2">
      <c r="A10" t="s">
        <v>66</v>
      </c>
      <c r="C10" t="s">
        <v>67</v>
      </c>
      <c r="D10" t="s">
        <v>18</v>
      </c>
      <c r="E10" t="s">
        <v>19</v>
      </c>
      <c r="F10" t="s">
        <v>20</v>
      </c>
      <c r="G10" t="s">
        <v>28</v>
      </c>
      <c r="I10" t="s">
        <v>68</v>
      </c>
      <c r="J10" t="s">
        <v>22</v>
      </c>
      <c r="K10" t="s">
        <v>69</v>
      </c>
      <c r="M10" t="s">
        <v>19</v>
      </c>
      <c r="N10" t="s">
        <v>70</v>
      </c>
      <c r="O10" t="s">
        <v>71</v>
      </c>
      <c r="P10" s="1">
        <v>283.02856063513889</v>
      </c>
    </row>
    <row r="11" spans="1:16" ht="12.75" x14ac:dyDescent="0.2">
      <c r="A11" t="s">
        <v>72</v>
      </c>
      <c r="C11" t="s">
        <v>73</v>
      </c>
      <c r="D11" t="s">
        <v>18</v>
      </c>
      <c r="E11" t="s">
        <v>19</v>
      </c>
      <c r="F11" t="s">
        <v>20</v>
      </c>
      <c r="G11" t="s">
        <v>28</v>
      </c>
      <c r="I11" t="s">
        <v>74</v>
      </c>
      <c r="J11" t="s">
        <v>22</v>
      </c>
      <c r="M11" t="s">
        <v>19</v>
      </c>
      <c r="N11" t="s">
        <v>71</v>
      </c>
      <c r="O11" t="s">
        <v>71</v>
      </c>
      <c r="P11" s="1">
        <v>179.77579190938769</v>
      </c>
    </row>
    <row r="12" spans="1:16" ht="12.75" x14ac:dyDescent="0.2">
      <c r="A12" t="s">
        <v>75</v>
      </c>
      <c r="C12" t="s">
        <v>76</v>
      </c>
      <c r="D12" t="s">
        <v>18</v>
      </c>
      <c r="E12" t="s">
        <v>19</v>
      </c>
      <c r="F12" t="s">
        <v>18</v>
      </c>
      <c r="G12" t="s">
        <v>18</v>
      </c>
      <c r="I12" t="s">
        <v>77</v>
      </c>
      <c r="J12" t="s">
        <v>22</v>
      </c>
      <c r="K12" t="s">
        <v>23</v>
      </c>
      <c r="L12" t="s">
        <v>78</v>
      </c>
      <c r="M12" t="s">
        <v>19</v>
      </c>
      <c r="N12" t="s">
        <v>79</v>
      </c>
      <c r="O12" t="s">
        <v>65</v>
      </c>
      <c r="P12" s="1">
        <v>397.70944883200809</v>
      </c>
    </row>
    <row r="13" spans="1:16" ht="12.75" x14ac:dyDescent="0.2">
      <c r="A13" t="s">
        <v>80</v>
      </c>
      <c r="C13" t="s">
        <v>81</v>
      </c>
      <c r="D13" t="s">
        <v>18</v>
      </c>
      <c r="E13" t="s">
        <v>19</v>
      </c>
      <c r="F13" t="s">
        <v>20</v>
      </c>
      <c r="G13" t="s">
        <v>18</v>
      </c>
      <c r="I13" t="s">
        <v>82</v>
      </c>
      <c r="J13" t="s">
        <v>22</v>
      </c>
      <c r="K13" t="s">
        <v>83</v>
      </c>
      <c r="L13" t="s">
        <v>84</v>
      </c>
      <c r="M13" t="s">
        <v>19</v>
      </c>
      <c r="N13" t="s">
        <v>24</v>
      </c>
      <c r="O13" t="s">
        <v>48</v>
      </c>
      <c r="P13" s="1">
        <v>142.8141056495316</v>
      </c>
    </row>
    <row r="14" spans="1:16" ht="12.75" x14ac:dyDescent="0.2">
      <c r="A14" t="s">
        <v>85</v>
      </c>
      <c r="C14" t="s">
        <v>86</v>
      </c>
      <c r="D14" t="s">
        <v>18</v>
      </c>
      <c r="E14" t="s">
        <v>19</v>
      </c>
      <c r="F14" t="s">
        <v>18</v>
      </c>
      <c r="G14" t="s">
        <v>33</v>
      </c>
      <c r="I14" t="s">
        <v>87</v>
      </c>
      <c r="J14" t="s">
        <v>22</v>
      </c>
      <c r="L14" t="s">
        <v>78</v>
      </c>
      <c r="M14" t="s">
        <v>19</v>
      </c>
      <c r="N14" t="s">
        <v>71</v>
      </c>
      <c r="O14" t="s">
        <v>71</v>
      </c>
      <c r="P14" s="1">
        <v>166.53462155765811</v>
      </c>
    </row>
    <row r="15" spans="1:16" ht="12.75" x14ac:dyDescent="0.2">
      <c r="A15" t="s">
        <v>88</v>
      </c>
      <c r="C15" t="s">
        <v>89</v>
      </c>
      <c r="D15" t="s">
        <v>18</v>
      </c>
      <c r="E15" t="s">
        <v>19</v>
      </c>
      <c r="F15" t="s">
        <v>18</v>
      </c>
      <c r="G15" t="s">
        <v>33</v>
      </c>
      <c r="I15" t="s">
        <v>90</v>
      </c>
      <c r="J15" t="s">
        <v>22</v>
      </c>
      <c r="K15" t="s">
        <v>47</v>
      </c>
      <c r="L15" t="s">
        <v>91</v>
      </c>
      <c r="M15" t="s">
        <v>19</v>
      </c>
      <c r="N15" t="s">
        <v>24</v>
      </c>
      <c r="O15" t="s">
        <v>48</v>
      </c>
      <c r="P15" s="1">
        <v>286.19620648787611</v>
      </c>
    </row>
    <row r="16" spans="1:16" ht="12.75" x14ac:dyDescent="0.2">
      <c r="A16" t="s">
        <v>92</v>
      </c>
      <c r="C16" t="s">
        <v>93</v>
      </c>
      <c r="D16" t="s">
        <v>20</v>
      </c>
      <c r="E16" t="s">
        <v>19</v>
      </c>
      <c r="F16" t="s">
        <v>20</v>
      </c>
      <c r="G16" t="s">
        <v>18</v>
      </c>
      <c r="I16" t="s">
        <v>94</v>
      </c>
      <c r="J16" t="s">
        <v>22</v>
      </c>
      <c r="L16" t="s">
        <v>95</v>
      </c>
      <c r="M16" t="s">
        <v>19</v>
      </c>
      <c r="N16" t="s">
        <v>79</v>
      </c>
      <c r="O16" t="s">
        <v>25</v>
      </c>
      <c r="P16" s="1">
        <v>154.52114569447559</v>
      </c>
    </row>
    <row r="17" spans="1:16" ht="12.75" x14ac:dyDescent="0.2">
      <c r="A17" t="s">
        <v>96</v>
      </c>
      <c r="C17" t="s">
        <v>97</v>
      </c>
      <c r="D17" t="s">
        <v>18</v>
      </c>
      <c r="E17" t="s">
        <v>19</v>
      </c>
      <c r="F17" t="s">
        <v>18</v>
      </c>
      <c r="G17" t="s">
        <v>33</v>
      </c>
      <c r="I17" t="s">
        <v>98</v>
      </c>
      <c r="J17" t="s">
        <v>22</v>
      </c>
      <c r="K17" t="s">
        <v>99</v>
      </c>
      <c r="L17" t="s">
        <v>41</v>
      </c>
      <c r="M17" t="s">
        <v>19</v>
      </c>
      <c r="N17" t="s">
        <v>100</v>
      </c>
      <c r="O17" t="s">
        <v>42</v>
      </c>
      <c r="P17" s="1">
        <v>255.57721906861829</v>
      </c>
    </row>
    <row r="18" spans="1:16" ht="12.75" x14ac:dyDescent="0.2">
      <c r="A18" t="s">
        <v>101</v>
      </c>
      <c r="C18" t="s">
        <v>102</v>
      </c>
      <c r="D18" t="s">
        <v>20</v>
      </c>
      <c r="E18" t="s">
        <v>19</v>
      </c>
      <c r="F18" t="s">
        <v>20</v>
      </c>
      <c r="G18" t="s">
        <v>18</v>
      </c>
      <c r="I18" t="s">
        <v>103</v>
      </c>
      <c r="J18" t="s">
        <v>22</v>
      </c>
      <c r="K18" t="s">
        <v>91</v>
      </c>
      <c r="L18" t="s">
        <v>104</v>
      </c>
      <c r="M18" t="s">
        <v>19</v>
      </c>
      <c r="N18" t="s">
        <v>24</v>
      </c>
      <c r="O18" t="s">
        <v>48</v>
      </c>
      <c r="P18" s="1">
        <v>40.710644677440158</v>
      </c>
    </row>
    <row r="19" spans="1:16" ht="12.75" x14ac:dyDescent="0.2">
      <c r="A19" t="s">
        <v>105</v>
      </c>
      <c r="C19" t="s">
        <v>106</v>
      </c>
      <c r="D19" t="s">
        <v>18</v>
      </c>
      <c r="E19" t="s">
        <v>19</v>
      </c>
      <c r="F19" t="s">
        <v>20</v>
      </c>
      <c r="G19" t="s">
        <v>28</v>
      </c>
      <c r="I19" t="s">
        <v>107</v>
      </c>
      <c r="J19" t="s">
        <v>22</v>
      </c>
      <c r="M19" t="s">
        <v>19</v>
      </c>
      <c r="N19" t="s">
        <v>71</v>
      </c>
      <c r="O19" t="s">
        <v>71</v>
      </c>
      <c r="P19" s="1">
        <v>455.8757452879629</v>
      </c>
    </row>
    <row r="20" spans="1:16" ht="12.75" x14ac:dyDescent="0.2">
      <c r="A20" t="s">
        <v>108</v>
      </c>
      <c r="C20" t="s">
        <v>109</v>
      </c>
      <c r="D20" t="s">
        <v>18</v>
      </c>
      <c r="E20" t="s">
        <v>19</v>
      </c>
      <c r="F20" t="s">
        <v>110</v>
      </c>
      <c r="G20" t="s">
        <v>28</v>
      </c>
      <c r="I20" t="s">
        <v>111</v>
      </c>
      <c r="J20" t="s">
        <v>22</v>
      </c>
      <c r="M20" t="s">
        <v>19</v>
      </c>
      <c r="N20" t="s">
        <v>71</v>
      </c>
      <c r="O20" t="s">
        <v>71</v>
      </c>
      <c r="P20" s="1">
        <v>249.14809240838531</v>
      </c>
    </row>
    <row r="21" spans="1:16" ht="12.75" x14ac:dyDescent="0.2">
      <c r="A21" t="s">
        <v>112</v>
      </c>
      <c r="C21" t="s">
        <v>113</v>
      </c>
      <c r="D21" t="s">
        <v>18</v>
      </c>
      <c r="E21" t="s">
        <v>19</v>
      </c>
      <c r="F21" t="s">
        <v>20</v>
      </c>
      <c r="G21" t="s">
        <v>18</v>
      </c>
      <c r="I21" t="s">
        <v>114</v>
      </c>
      <c r="J21" t="s">
        <v>22</v>
      </c>
      <c r="K21" t="s">
        <v>58</v>
      </c>
      <c r="M21" t="s">
        <v>19</v>
      </c>
      <c r="N21" t="s">
        <v>24</v>
      </c>
      <c r="O21" t="s">
        <v>30</v>
      </c>
      <c r="P21" s="1">
        <v>191.29743043205269</v>
      </c>
    </row>
    <row r="22" spans="1:16" x14ac:dyDescent="0.2">
      <c r="P22" s="2">
        <f>SUM(P2:P21)</f>
        <v>4628.5568414804202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Gonçalves</cp:lastModifiedBy>
  <cp:revision>0</cp:revision>
  <dcterms:modified xsi:type="dcterms:W3CDTF">2025-07-14T20:53:40Z</dcterms:modified>
</cp:coreProperties>
</file>